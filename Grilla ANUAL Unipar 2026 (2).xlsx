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 1" sheetId="1" r:id="rId5"/>
    <sheet state="visible" name="Tabla 2" sheetId="2" r:id="rId6"/>
    <sheet state="visible" name="Resumen Tier 1" sheetId="3" r:id="rId7"/>
  </sheets>
  <definedNames>
    <definedName hidden="1" localSheetId="1" name="_xlnm._FilterDatabase">'Tabla 2'!$A$1:$E$302</definedName>
  </definedNames>
  <calcPr/>
</workbook>
</file>

<file path=xl/sharedStrings.xml><?xml version="1.0" encoding="utf-8"?>
<sst xmlns="http://schemas.openxmlformats.org/spreadsheetml/2006/main" count="3130" uniqueCount="1037">
  <si>
    <t>Mes</t>
  </si>
  <si>
    <t>Tier1</t>
  </si>
  <si>
    <t>2026-ene</t>
  </si>
  <si>
    <t>2026-feb</t>
  </si>
  <si>
    <t>2026-mar</t>
  </si>
  <si>
    <t>2026-abr</t>
  </si>
  <si>
    <t>2026-may</t>
  </si>
  <si>
    <t>2026-jun</t>
  </si>
  <si>
    <t>Total</t>
  </si>
  <si>
    <t>Fecha</t>
  </si>
  <si>
    <t>Título de la Nota</t>
  </si>
  <si>
    <t>Medio</t>
  </si>
  <si>
    <t>Gestión</t>
  </si>
  <si>
    <t>LISTA DE MEDIOS (Base)</t>
  </si>
  <si>
    <t>Detalle de Gestión</t>
  </si>
  <si>
    <t>Síntesis</t>
  </si>
  <si>
    <t>Link</t>
  </si>
  <si>
    <t>Tipo de Medio</t>
  </si>
  <si>
    <t>Tier</t>
  </si>
  <si>
    <t>Tipo de Medio (Base)</t>
  </si>
  <si>
    <t>Valor de Retorno ($$)</t>
  </si>
  <si>
    <t>Tono (K)</t>
  </si>
  <si>
    <t>Tier (Base)</t>
  </si>
  <si>
    <t>Mensaje Clave (L)</t>
  </si>
  <si>
    <t>Eje/Tema (M)</t>
  </si>
  <si>
    <t>Valor Estimado (Base)</t>
  </si>
  <si>
    <t>Subtema (N)</t>
  </si>
  <si>
    <t>Voceros (O)</t>
  </si>
  <si>
    <t>Voceros (Base)</t>
  </si>
  <si>
    <t>% del Tema (P)</t>
  </si>
  <si>
    <t>El complejo recreativo Maldonado reabre sus puertas para la temporada 2026</t>
  </si>
  <si>
    <t>La Nueva Provincia</t>
  </si>
  <si>
    <t>Espontánea</t>
  </si>
  <si>
    <t>Clarin</t>
  </si>
  <si>
    <t>Orgánica</t>
  </si>
  <si>
    <t>Anuncio de la reapertura del complejo recreativo Maldonado para la temporada de verano 2026.</t>
  </si>
  <si>
    <t>Generalista Nacional</t>
  </si>
  <si>
    <t>https://www.lanueva.com/nota/2025-12-30-17-13-0-el-complejo-recreativo-maldonado-reabre-sus-puertas-para-la-temporada-2026</t>
  </si>
  <si>
    <t xml:space="preserve">Rodrigo Cannaval </t>
  </si>
  <si>
    <t>La Nación</t>
  </si>
  <si>
    <t>Guillermo Petracci</t>
  </si>
  <si>
    <t>El Cronista</t>
  </si>
  <si>
    <t>Negocio Nacional</t>
  </si>
  <si>
    <t>Laura Gutiérrez</t>
  </si>
  <si>
    <t>Positivo</t>
  </si>
  <si>
    <t>Ámbito Financiero</t>
  </si>
  <si>
    <t>Sustentabilidad</t>
  </si>
  <si>
    <t>Martín Fasano</t>
  </si>
  <si>
    <t>Relaciones con la Comunidad</t>
  </si>
  <si>
    <t>No menciona</t>
  </si>
  <si>
    <t>Apertura</t>
  </si>
  <si>
    <t>Alexandre Castro</t>
  </si>
  <si>
    <t>BAE Negocios</t>
  </si>
  <si>
    <t>Matías Moreno</t>
  </si>
  <si>
    <t>Infobae</t>
  </si>
  <si>
    <t>Gabriel Stachiotti</t>
  </si>
  <si>
    <t>Ingeniero White</t>
  </si>
  <si>
    <t>iProfesional</t>
  </si>
  <si>
    <t>Noticia sobre la reapertura del complejo recreativo Maldonado para la temporada 2026.</t>
  </si>
  <si>
    <t>https://www.ingenierowhite.com/2025/12/30/el-complejo-recreativo-maldonado-reabre-sus-puertas-para-la-temporada-2026/</t>
  </si>
  <si>
    <t>Cecilia Marinesco</t>
  </si>
  <si>
    <t>Mercado</t>
  </si>
  <si>
    <t>Ignacio Garriz</t>
  </si>
  <si>
    <t>Revista Petroquímica</t>
  </si>
  <si>
    <t>Rodrigo Capdevila</t>
  </si>
  <si>
    <t>TV Pública</t>
  </si>
  <si>
    <t>Ezequiel Báez</t>
  </si>
  <si>
    <t>El Tribuno</t>
  </si>
  <si>
    <t>EconoJournal</t>
  </si>
  <si>
    <t>El viernes abrirá sus puertas el balneario Maldonado</t>
  </si>
  <si>
    <t>Frente a Cano</t>
  </si>
  <si>
    <t>Anuncio de la apertura del balneario Maldonado el próximo viernes.</t>
  </si>
  <si>
    <t>El Economista</t>
  </si>
  <si>
    <t>https://frenteacano.com.ar/el-viernes-abrira-sus-puertas-el-balneario-maldonado/</t>
  </si>
  <si>
    <t>La Opinión Austral</t>
  </si>
  <si>
    <t>Visión Sustentable</t>
  </si>
  <si>
    <t>Sustentabilidad Nacional</t>
  </si>
  <si>
    <t>Sustenomics</t>
  </si>
  <si>
    <t>Prensa Económica</t>
  </si>
  <si>
    <t>Complejo Maldonado abre sus puertas el viernes</t>
  </si>
  <si>
    <t>Canal 7 Bahia Blanca</t>
  </si>
  <si>
    <t>Forbes</t>
  </si>
  <si>
    <t>Detalles sobre la apertura del Complejo Maldonado, incluyendo horarios y normas de ingreso.</t>
  </si>
  <si>
    <t>https://www.canalsiete.com.ar/c7-noticias/c7-destacada/2025/12/30/complejo-maldonado-abre-sus-puertas-el-viernes/#:~:text=El%20Maldonado%20abrir%C3%A1%20todos%20los%20d%C3%ADas%20de%209%20a%2021%20hs.&amp;text=En%20su%20ingreso%20se%20debe,el%20ingreso%20de%20bebidas%20alcoh%C3%B3licas.</t>
  </si>
  <si>
    <t>Perfil</t>
  </si>
  <si>
    <t>Diario Río Negro</t>
  </si>
  <si>
    <t>El Observador</t>
  </si>
  <si>
    <t>Negocios</t>
  </si>
  <si>
    <t>Local BB</t>
  </si>
  <si>
    <t>IN Bahia Blanca</t>
  </si>
  <si>
    <t>El balneario Maldonado ya tiene todo preparado para la inauguración de temporada 2026</t>
  </si>
  <si>
    <t>0291 Noticias</t>
  </si>
  <si>
    <t>Preparativos finales para la inauguración de la temporada 2026 en el balneario Maldonado.</t>
  </si>
  <si>
    <t>https://0291.com.ar/el-balneario-maldonado-ya-tiene-todo-preparado-para-la-inauguracion-de-temporada-2026/</t>
  </si>
  <si>
    <t>Telefé Bahía Blanca</t>
  </si>
  <si>
    <t>FM La Brújula</t>
  </si>
  <si>
    <t>Canal 4 Cablevisión TV</t>
  </si>
  <si>
    <t>AM LU2</t>
  </si>
  <si>
    <t>El balneario Maldonado habilitó la temporada 2026</t>
  </si>
  <si>
    <t>Café x Medio</t>
  </si>
  <si>
    <t>Confirmación de la habilitación de la temporada 2026 en el balneario Maldonado.</t>
  </si>
  <si>
    <t>https://cafexmedio.com.ar/locales/el-balneario-maldonado-habilito-la-temporada-2026/</t>
  </si>
  <si>
    <t>La Brújula 24</t>
  </si>
  <si>
    <t>Canal 9 Telefe TV</t>
  </si>
  <si>
    <t>Radio AM LU2</t>
  </si>
  <si>
    <t>FM Radio Mitre</t>
  </si>
  <si>
    <t>ArgenSUR</t>
  </si>
  <si>
    <t>https://argensur.com.ar/publicacion/22822/el-complejo-recreativo-maldonado-reabre-sus-puertas-para-la-temporada-2026/</t>
  </si>
  <si>
    <t>BVC Noticias</t>
  </si>
  <si>
    <t>Municipio BB Noticias Web</t>
  </si>
  <si>
    <t>Wips</t>
  </si>
  <si>
    <t>BHInfo Web</t>
  </si>
  <si>
    <t>Bahía Blanca: el balneario Maldonado habilitó la temporada 2026</t>
  </si>
  <si>
    <t>Mega 97.5</t>
  </si>
  <si>
    <t>https://mega975.com.ar/bahia-blanca-el-balneario-maldonado-habilito-la-temporada-2026/</t>
  </si>
  <si>
    <t>Canal Nueve Bahia</t>
  </si>
  <si>
    <t>Apepe digital</t>
  </si>
  <si>
    <t>Los Andes (Mendoza)</t>
  </si>
  <si>
    <t>La Voz del Interior</t>
  </si>
  <si>
    <t>Centro Industrial y Logístico</t>
  </si>
  <si>
    <t>Bahía Productiva</t>
  </si>
  <si>
    <t>Uno (Mendoza)</t>
  </si>
  <si>
    <t>La Capital de Rosario</t>
  </si>
  <si>
    <t>Información de interés sobre la industria local.</t>
  </si>
  <si>
    <t>https://bahiaproductiva.com/info-de-interes/industria/</t>
  </si>
  <si>
    <t>ComunicaRSE</t>
  </si>
  <si>
    <t>Diario de Cuyo</t>
  </si>
  <si>
    <t>El Destape</t>
  </si>
  <si>
    <t>Proveedor Estratégico</t>
  </si>
  <si>
    <t>Cadena de Valor y Sectores</t>
  </si>
  <si>
    <t>El Día (La Plata)</t>
  </si>
  <si>
    <t>Bahía Blanca</t>
  </si>
  <si>
    <t>Fortuna</t>
  </si>
  <si>
    <t>Información de interés general sobre la ciudad de Bahía Blanca.</t>
  </si>
  <si>
    <t>https://bahiaproductiva.com/info-de-interes/bahia-blanca/</t>
  </si>
  <si>
    <t>Enernews</t>
  </si>
  <si>
    <t>InfoNegocios</t>
  </si>
  <si>
    <t>InfoMendoza</t>
  </si>
  <si>
    <t>In Litoral</t>
  </si>
  <si>
    <t>Sanar después de la tormenta: reconstruir una comunidad cuando el daño no se ve</t>
  </si>
  <si>
    <t>Proactiva</t>
  </si>
  <si>
    <t>In Salta</t>
  </si>
  <si>
    <t>Reflexión sobre la reconstrucción comunitaria y el impacto invisible tras una tormenta.</t>
  </si>
  <si>
    <t>https://www.visionsustentable.com/2026/01/05/sanar-despues-de-la-tormenta-reconstruir-una-comunidad-cuando-el-dano-no-se-ve/</t>
  </si>
  <si>
    <t>In Tucuman</t>
  </si>
  <si>
    <t>La mañana (Neuquén)</t>
  </si>
  <si>
    <t>Gerencia Ambiental</t>
  </si>
  <si>
    <t>La Gaceta</t>
  </si>
  <si>
    <t xml:space="preserve">Las acciones llevadas a cabo por la Dirección Institucional
</t>
  </si>
  <si>
    <t>Tiempo Industrial</t>
  </si>
  <si>
    <t>Más Industrias</t>
  </si>
  <si>
    <t>La inundación del 7 de marzo afectó las instalaciones de la UIBB. Además, muchas pymes estuvieron complicadas, lo que motivó a repensar la planificación anual.</t>
  </si>
  <si>
    <t>https://sentinel.globalnewsgroup.com/ver-noticia?ysTe9aO_9pWtqaYiIJ0yHIzJCBqMZA1s0CXXdYARVPY</t>
  </si>
  <si>
    <t>Mejor Energía</t>
  </si>
  <si>
    <t>RunRun Energético</t>
  </si>
  <si>
    <t>Institucional</t>
  </si>
  <si>
    <t>Futuro Sustentable</t>
  </si>
  <si>
    <t>PRESENTE RSE</t>
  </si>
  <si>
    <t>Generalidades</t>
  </si>
  <si>
    <t>El Zonda</t>
  </si>
  <si>
    <t>Cómo funciona la biblia de la industria química y petroquímica para dejar de contaminar</t>
  </si>
  <si>
    <t>Economía Sustentable</t>
  </si>
  <si>
    <t>Memo</t>
  </si>
  <si>
    <t>Artículo sobre el funcionamiento de la guía de la industria química y petroquímica para reducir la contaminación.</t>
  </si>
  <si>
    <t>https://economiasustentable.com/noticias/como-funciona-la-biblia-de-la-industria-quimica-y-petroquimica-para-dejar-de-contaminar/</t>
  </si>
  <si>
    <t>Ahora Bahia</t>
  </si>
  <si>
    <t>Argen Ports web</t>
  </si>
  <si>
    <t>Estrategia ESG</t>
  </si>
  <si>
    <t>Ciudad Portuaria</t>
  </si>
  <si>
    <t>Hoy la sostenibilidad pasa por sostener el empleo y la productividad y eso tiene que ver con competitividad</t>
  </si>
  <si>
    <t>Reflexión sobre cómo la sostenibilidad actual se relaciona con el mantenimiento del empleo, la productividad y la competitividad.</t>
  </si>
  <si>
    <t>Fla Media Web</t>
  </si>
  <si>
    <t>https://sustenomics.com/hoy-la-sostenibilidad-pasa-por-sostener-el-empleo-y-la-productividad-y-eso-tiene-que-ver-con-competitividad/</t>
  </si>
  <si>
    <t>FM Altos</t>
  </si>
  <si>
    <t>Radio UNS</t>
  </si>
  <si>
    <t>Informate Acá</t>
  </si>
  <si>
    <t>UNS Bahía Blanca</t>
  </si>
  <si>
    <t>Guillermo Petracci, de Unipar: "El desarrollo de quienes forman Unipar es nuestra prioridad"</t>
  </si>
  <si>
    <t>Canal 4 BVC Online</t>
  </si>
  <si>
    <t>Libro Blanco de RSE</t>
  </si>
  <si>
    <t>https://drive.google.com/file/d/1TOPVGerlf-EtMckPhQHK7da1fSrz-1M6/view?usp=sharing</t>
  </si>
  <si>
    <t>Canal Somos Bahia</t>
  </si>
  <si>
    <t>AM Radio UNS</t>
  </si>
  <si>
    <t>Norte en Línea</t>
  </si>
  <si>
    <t>Marca Empleadora/RRHH</t>
  </si>
  <si>
    <t>Actualidad Chaco</t>
  </si>
  <si>
    <t>Agencia Comunas</t>
  </si>
  <si>
    <t>Premio Conciencia: una mirada multisectorial para reconocer impacto real</t>
  </si>
  <si>
    <t>NBS</t>
  </si>
  <si>
    <t>Cobertura sobre el Premio Conciencia y su enfoque multisectorial para reconocer el impacto real.</t>
  </si>
  <si>
    <t>https://nbs.ar/premio-conciencia-una-mirada-multisectorial-para-reconocer-impacto-real/</t>
  </si>
  <si>
    <t>AIM Online</t>
  </si>
  <si>
    <t>Aire Visión</t>
  </si>
  <si>
    <t>APF Digital</t>
  </si>
  <si>
    <t>Aries Online</t>
  </si>
  <si>
    <t>Revista N° 351</t>
  </si>
  <si>
    <t>Publicación de la edición N° 351 de la revista.</t>
  </si>
  <si>
    <t>https://nbs.ar/project/revista-no-351/</t>
  </si>
  <si>
    <t>Calidad TDF</t>
  </si>
  <si>
    <t>Canal Veo</t>
  </si>
  <si>
    <t>Cancha Política</t>
  </si>
  <si>
    <t>Inauguración de nuevos servicios de oncología y hematología en el Hospital Municipal</t>
  </si>
  <si>
    <t>Central de Noticias</t>
  </si>
  <si>
    <t>Noticia sobre la inauguración de las nuevas áreas de oncología y hematología en el Hospital Municipal.</t>
  </si>
  <si>
    <t>https://0291.com.ar/inauguracion-de-nuevos-servicios-de-oncologia-y-hematologia-en-el-hospital-municipal/</t>
  </si>
  <si>
    <t>Centro de Informes</t>
  </si>
  <si>
    <t>Ceres Ciudad</t>
  </si>
  <si>
    <t>Chaco Federal</t>
  </si>
  <si>
    <t>Chaco Hoy</t>
  </si>
  <si>
    <t>Chaco todo el día</t>
  </si>
  <si>
    <t>El Hospital Municipal inauguró los nuevos servicios de oncología y hematología</t>
  </si>
  <si>
    <t>Reporte de la apertura de los nuevos servicios de oncología y hematología en el Hospital Municipal.</t>
  </si>
  <si>
    <t>https://frenteacano.com.ar/el-hospital-municipal-inauguro-los-nuevos-servicios-de-oncologia-y-hematologia/</t>
  </si>
  <si>
    <t>Compacto Político</t>
  </si>
  <si>
    <t>Con la gente</t>
  </si>
  <si>
    <t>Con Pacto</t>
  </si>
  <si>
    <t>Conciliación Obligatoria</t>
  </si>
  <si>
    <t>Confirmado</t>
  </si>
  <si>
    <t>El intendente inauguró los nuevos servicios de oncología y hematología en el Hospital Municipal junto a autoridades y trabajadores de la salud</t>
  </si>
  <si>
    <t>Cobertura de la inauguración de servicios de salud en el Hospital Municipal por parte del intendente.</t>
  </si>
  <si>
    <t>Contexto Tucumán</t>
  </si>
  <si>
    <t>https://www.ingenierowhite.com/2026/02/12/el-intendente-inauguro-los-nuevos-servicios-de-oncologia-y-hematologia-en-el-hospital-municipal-junto-a-autoridades-y-trabajadores-de-la-salud/</t>
  </si>
  <si>
    <t>Coordenada Informativa</t>
  </si>
  <si>
    <t>Dbiz today</t>
  </si>
  <si>
    <t>DERF</t>
  </si>
  <si>
    <t>Diario 26</t>
  </si>
  <si>
    <t>Quienes tenían compromisos reales con enfoque de gestión pudieron sostener las agendas de sostenibilidad</t>
  </si>
  <si>
    <t>Diario Castellanos</t>
  </si>
  <si>
    <t>Artículo sobre cómo los compromisos reales con enfoque de gestión sostuvieron las agendas de sostenibilidad.</t>
  </si>
  <si>
    <t>https://sustenomics.com/quienes-tenian-compromisos-reales-con-enfoque-de-gestion-pudieron-sostener-las-agendas-de-sostenibilidad/</t>
  </si>
  <si>
    <t>Diario D3</t>
  </si>
  <si>
    <t>Diario Del Oeste</t>
  </si>
  <si>
    <t>Diario Jujuy</t>
  </si>
  <si>
    <t>Diario Junín</t>
  </si>
  <si>
    <t>Diario Once</t>
  </si>
  <si>
    <t>Diarios Bonaerenses</t>
  </si>
  <si>
    <t>Guillermo Petracci de Unipar: la variable ESG actúa como un motor de innovación</t>
  </si>
  <si>
    <t>Entrevista a Guillermo Petracci sobre cómo la variable ESG actúa como motor de innovación en Unipar.</t>
  </si>
  <si>
    <t>https://mercado.com.ar/gestion-sustentable/guillermo-petracci-de-unipar-la-variable-esg-actua-como-un-motor-de-innovacion/#:~:text=Asimismo%2C%20el%20desarrollo%20de%20quienes,motor%20de%20nuestra%20excelencia%20operativa.</t>
  </si>
  <si>
    <t>Editorial RN</t>
  </si>
  <si>
    <t>El Argentino de Gualeguaychú</t>
  </si>
  <si>
    <t>El Cactus</t>
  </si>
  <si>
    <t>El DiarioAr</t>
  </si>
  <si>
    <t>El Hospital Municipal consolida su plan director con una ampliación histórica</t>
  </si>
  <si>
    <t>El Fuerte</t>
  </si>
  <si>
    <t>Cobertura sobre la consolidación del plan director y la ampliación histórica del Hospital Municipal.</t>
  </si>
  <si>
    <t>https://www.lanueva.com/nota/2026-2-22-5-0-25-el-hospital-municipal-consolida-su-plan-director-con-una-ampliacion-historica</t>
  </si>
  <si>
    <t>El Once</t>
  </si>
  <si>
    <t>El Patagónico</t>
  </si>
  <si>
    <t>El Portal de Salta</t>
  </si>
  <si>
    <t>El Sol de Concordia</t>
  </si>
  <si>
    <t>El Sureño</t>
  </si>
  <si>
    <t>Reporte de noticias a través de la plataforma Sentinel Global News Group.</t>
  </si>
  <si>
    <t>https://sentinel.globalnewsgroup.com/ver-noticia?8Aa4j7y426naa627XRILnrA-vMW8m9BUZQ5iNg6PrzU</t>
  </si>
  <si>
    <t>Energias Patagónicas</t>
  </si>
  <si>
    <t>Estar Informado</t>
  </si>
  <si>
    <t>Gazeta Jujuy</t>
  </si>
  <si>
    <t>Glaciar FM 105.7</t>
  </si>
  <si>
    <t>Unipar renueva cargos ejecutivos y refuerza su liderazgo institucional en la región</t>
  </si>
  <si>
    <t>Grupo La Provincia</t>
  </si>
  <si>
    <t>Información sobre la renovación de cargos ejecutivos y el refuerzo del liderazgo institucional de Unipar en la región.</t>
  </si>
  <si>
    <t>https://norteenlinea.com/unipar-renueva-cargos-ejecutivos-y-refuerza-su-liderazgo-institucional-en-la-region/</t>
  </si>
  <si>
    <t>Head Topics</t>
  </si>
  <si>
    <t>Hola Catamarca</t>
  </si>
  <si>
    <t>Hora de opinión</t>
  </si>
  <si>
    <t>Identidad Correntina</t>
  </si>
  <si>
    <t>Sanar después de la tormenta: cómo nació el programa de salud mental de Unipar ante la catástrofe</t>
  </si>
  <si>
    <t>Relato sobre el origen y desarrollo del programa de salud mental de Unipar frente a la catástrofe.</t>
  </si>
  <si>
    <t>https://sustenomics.com/sanar-despues-de-la-tormenta-como-nacio-el-programa-de-salud-mental-de-unipar-ante-la-catastrofe/</t>
  </si>
  <si>
    <t>Impacto Corrientes</t>
  </si>
  <si>
    <t>Infonews</t>
  </si>
  <si>
    <t>Info La Plata</t>
  </si>
  <si>
    <t>Info Rafaela</t>
  </si>
  <si>
    <t>Unipar reordena su cúpula de recursos humanos y amplía su presencia sectorial regional</t>
  </si>
  <si>
    <t>Infoarenales</t>
  </si>
  <si>
    <t>Detalles sobre la reorganización de la cúpula de recursos humanos de Unipar y su expansión a nivel regional.</t>
  </si>
  <si>
    <t>https://mercado.com.ar/talento-y-liderazgo/unipar-reordena-su-cupula-de-recursos-humanos-y-amplia-su-presencia-sectorial-regional/</t>
  </si>
  <si>
    <t>Insider</t>
  </si>
  <si>
    <t>Jujuy Ahora</t>
  </si>
  <si>
    <t>Jujuy al Día</t>
  </si>
  <si>
    <t>LatinSpots</t>
  </si>
  <si>
    <t>Aún en crisis de consumo, las empresas cumplieron con el regalo por vuelta a clases</t>
  </si>
  <si>
    <t>La Arena</t>
  </si>
  <si>
    <t>Informe sobre cómo las empresas mantuvieron la entrega de regalos por la vuelta a clases a pesar de la crisis de consumo.</t>
  </si>
  <si>
    <t>https://www.iprofesional.com/management/448966-aun-en-crisis-de-consumo-las-empresas-cumplieron-con-el-regalo-por-vuelta-a-clases</t>
  </si>
  <si>
    <t>La Noticia Web</t>
  </si>
  <si>
    <t>La Posta Comodorense</t>
  </si>
  <si>
    <t>La Provincia en Vivo</t>
  </si>
  <si>
    <t>La Razón de Chivilcoy</t>
  </si>
  <si>
    <t>Laura Gutierrez</t>
  </si>
  <si>
    <t>La Séptima Digital</t>
  </si>
  <si>
    <t>El Departamento de |óvenes presentó su agenda de trabajo para este año</t>
  </si>
  <si>
    <t>La Voz de Neuquén</t>
  </si>
  <si>
    <t>https://sentinel.globalnewsgroup.com/ver-noticia?fHcvtx0QLhew5hvQz3FRLLPtVBVHDHuBPCa72-z7rp4</t>
  </si>
  <si>
    <t>La Voz de San Justo</t>
  </si>
  <si>
    <t>Las 24 horas de Jujuy</t>
  </si>
  <si>
    <t>LU32 Olavarría</t>
  </si>
  <si>
    <t>Magazine Sde</t>
  </si>
  <si>
    <t>Nombramientos corporativos</t>
  </si>
  <si>
    <t>Maracó Digital</t>
  </si>
  <si>
    <t>https://sentinel.globalnewsgroup.com/ver-noticia?KLH4WTlWeg-BLtejvBg9wPCclUS9j6NQh11XkK-m7eE</t>
  </si>
  <si>
    <t>Misiones</t>
  </si>
  <si>
    <t>Mining Press</t>
  </si>
  <si>
    <t>Minuto NQN</t>
  </si>
  <si>
    <t>Minuto de Cierre</t>
  </si>
  <si>
    <t>Unipar renueva su liderazgo ejecutivo y gana peso institucional en la región</t>
  </si>
  <si>
    <t>Minuto Santa Fé</t>
  </si>
  <si>
    <t>Información sobre la renovación del liderazgo ejecutivo de Unipar y su peso institucional en la región.</t>
  </si>
  <si>
    <t>https://infonegocios.info/infogerentes/unipar-renueva-su-liderazgo-ejecutivo-y-gana-peso-institucional-en-la-region-hr-y-representacion-sectorial-2026-2027#:~:text=de%20marzo%20%7C%202026-,Unipar%20renueva%20su%20liderazgo%20ejecutivo%20y%20gana%20peso%20institucional%20en,c%C3%A1maras%20del%20sector%20qu%C3%ADmico%20sudamericano.</t>
  </si>
  <si>
    <t>Mundo Empresarial</t>
  </si>
  <si>
    <t>Mundo Político</t>
  </si>
  <si>
    <t>Natagalá</t>
  </si>
  <si>
    <t>Necochea Net</t>
  </si>
  <si>
    <t>Negocios y Política</t>
  </si>
  <si>
    <t>Unipar renueva cargos ejecutivos en la región</t>
  </si>
  <si>
    <t>EBizLatam</t>
  </si>
  <si>
    <t>Información sobre la renovación de cargos ejecutivos de Unipar en la región.</t>
  </si>
  <si>
    <t>Newsweek</t>
  </si>
  <si>
    <t>https://ebizlatam.com/unipar-renueva-cargos-ejecutivos-en-la-region/</t>
  </si>
  <si>
    <t>Noticias de Bariloche</t>
  </si>
  <si>
    <t>Noticia Norte</t>
  </si>
  <si>
    <t>Noticias D</t>
  </si>
  <si>
    <t>Noticiero 12</t>
  </si>
  <si>
    <t>Un tema que se consolidó en 2025 fue la integridad: la relevancia de tener datos clave</t>
  </si>
  <si>
    <t>Artículo sobre la consolidación de la integridad y la relevancia de tener datos clave.</t>
  </si>
  <si>
    <t>https://sustenomics.com/un-tema-que-se-consolido-en-2025-fue-la-integridad-la-relevancia-de-tener-datos-clave/</t>
  </si>
  <si>
    <t>Notinor</t>
  </si>
  <si>
    <t>Opi Santa Cruz</t>
  </si>
  <si>
    <t>Página Central</t>
  </si>
  <si>
    <t>Paralelo 32</t>
  </si>
  <si>
    <t>Perico Noticias</t>
  </si>
  <si>
    <t>Río Negro verificó obra en salina El Gualicho</t>
  </si>
  <si>
    <t>Cipolletti Digital</t>
  </si>
  <si>
    <t>Periódico LEA</t>
  </si>
  <si>
    <t>Reporte sobre la verificación de obras en la salina El Gualicho por parte de Río Negro.</t>
  </si>
  <si>
    <t>https://www.cipollettidigital.com.ar/noticias/2026/03/11/75287-rio-negro-verifico-obra-en-salina-el-gualicho</t>
  </si>
  <si>
    <t>Periódico Lea</t>
  </si>
  <si>
    <t>Periodismo Vivo</t>
  </si>
  <si>
    <t>PetrolNews</t>
  </si>
  <si>
    <t>Río Negro verificó obra en salinas El Gualicho</t>
  </si>
  <si>
    <t>Gobierno de Rio Negro</t>
  </si>
  <si>
    <t>Reporte oficial sobre la verificación de obras en las salinas El Gualicho.</t>
  </si>
  <si>
    <t>Plus Información</t>
  </si>
  <si>
    <t>https://rionegro.gov.ar/articulo/58233/rio-negro-verifico-obra-en-salinas-el-gualicho</t>
  </si>
  <si>
    <t>Poder Local</t>
  </si>
  <si>
    <t>Portal Publicitario</t>
  </si>
  <si>
    <t>Pregón Online</t>
  </si>
  <si>
    <t>Provincia 23</t>
  </si>
  <si>
    <t>Informativo Hoy</t>
  </si>
  <si>
    <t>Reporte sobre la verificación de obras en la salina El Gualicho.</t>
  </si>
  <si>
    <t>Punto de partida</t>
  </si>
  <si>
    <t>https://informativohoy.com.ar/rio-negro-verifico-obra-en-salina-el-gualicho/</t>
  </si>
  <si>
    <t>Qué pasa Jujuy</t>
  </si>
  <si>
    <t>Radio D3</t>
  </si>
  <si>
    <t>Radio Encuentro</t>
  </si>
  <si>
    <t>Radio Gráfica</t>
  </si>
  <si>
    <t>Radio Pasión Argentina</t>
  </si>
  <si>
    <t>Salinas del Gualicho: el gobierno inspeccionó obras y controló el impacto ambiental a las empresas</t>
  </si>
  <si>
    <t>Radio Pinamar</t>
  </si>
  <si>
    <t>La Mañana Cipolletti</t>
  </si>
  <si>
    <t>El Gobierno de Río Negro inspeccionó obras y controló el impacto ambiental de las empresas en las salinas.</t>
  </si>
  <si>
    <t>https://www.lmcipolletti.com/provincia/salinas-del-gualicho-el-gobierno-inspecciono-obras-y-controlo-el-impacto-ambiental-las-empresas-n1231293#:~:text=El%20Gobierno%20de%20R%C3%ADo%20Negro,salinas%20m%C3%A1s%20grandes%20de%20Sudam%C3%A9rica.</t>
  </si>
  <si>
    <t>Radio Popular San Luis</t>
  </si>
  <si>
    <t>Región Norte Grande</t>
  </si>
  <si>
    <t>Reporte 24</t>
  </si>
  <si>
    <t>Reporter Patagonia</t>
  </si>
  <si>
    <t>Será Noticia</t>
  </si>
  <si>
    <t>No</t>
  </si>
  <si>
    <t>Sin Tinta</t>
  </si>
  <si>
    <t>Sitio Andino</t>
  </si>
  <si>
    <t>Sitio Gremial</t>
  </si>
  <si>
    <t>Cuáles son las 70 mejores empresas para trabajar en Argentina en 2026</t>
  </si>
  <si>
    <t>Artículo sobre las 70 mejores empresas para trabajar en Argentina en 2026.</t>
  </si>
  <si>
    <t>https://www.infobae.com/tendencias/2026/03/13/cuales-son-las-70-mejores-empresas-para-trabajar-en-argentina-en-2026/</t>
  </si>
  <si>
    <t>Somos Jujuy</t>
  </si>
  <si>
    <t>Somos Pymes</t>
  </si>
  <si>
    <t>Sunchales Día por Día</t>
  </si>
  <si>
    <t>Sustentar TV</t>
  </si>
  <si>
    <t>Todo Jujuy</t>
  </si>
  <si>
    <t>Total Medios</t>
  </si>
  <si>
    <t>Total News</t>
  </si>
  <si>
    <t>Unipar quedó entre los mejores lugares para trabajar en Argentina y se ubicó 21 en el ranking 2026</t>
  </si>
  <si>
    <t>Unipar fue reconocida en el ranking de los mejores lugares para trabajar en Argentina.</t>
  </si>
  <si>
    <t>https://argenports.com/nota/unipar-quedo-entre-los-mejores-lugares-para-trabajar-en-argentina-y-se-ubico-21-en-el-ranking-2026/#:~:text=Unipar%20fue%20reconocida%20en%20el,100.000%20personasen%20todo%20el%20pa%C3%ADs.</t>
  </si>
  <si>
    <t>Tres Líneas</t>
  </si>
  <si>
    <t>Tucumán Hoy</t>
  </si>
  <si>
    <t>Tucumán Noticias</t>
  </si>
  <si>
    <t>Últimas Noticias</t>
  </si>
  <si>
    <t>UnirSE</t>
  </si>
  <si>
    <t>Varela al Día</t>
  </si>
  <si>
    <t>Voces y Apuntes</t>
  </si>
  <si>
    <t>Unipar fue reconocida entre los mejores lugares para trabajar en Argentina 2026 por Great Place to Work</t>
  </si>
  <si>
    <t>Zona Norte Hoy</t>
  </si>
  <si>
    <t>https://bahiaproductiva.com/2026/03/13/unipar-fue-reconocida-entre-los-mejores-lugares-para-trabajar-en-argentina-2026-porgreat-place-to-work/</t>
  </si>
  <si>
    <t>Arga</t>
  </si>
  <si>
    <t>Info GEI</t>
  </si>
  <si>
    <t>Bank Magazine</t>
  </si>
  <si>
    <t>Radio Conexión Abierta</t>
  </si>
  <si>
    <t>Revista Nueva Energía</t>
  </si>
  <si>
    <t>Estaciones</t>
  </si>
  <si>
    <t>Comex Online</t>
  </si>
  <si>
    <t>Entre Ríos Digital</t>
  </si>
  <si>
    <t>Flippr</t>
  </si>
  <si>
    <t>https://entreriosdigital.com/cuales-son-las-70-mejores-empresas-para-trabajar-en-argentina-en-2026/</t>
  </si>
  <si>
    <t>El noticiero digital</t>
  </si>
  <si>
    <t>Prensa Energética</t>
  </si>
  <si>
    <t>Nuestro Mar (ONG)</t>
  </si>
  <si>
    <t>Data Clave</t>
  </si>
  <si>
    <t>FM 90.1 Primera Fuente</t>
  </si>
  <si>
    <t>VDM Noticias</t>
  </si>
  <si>
    <t>Mejores lugares para trabajar 2026: ranking en Argentina</t>
  </si>
  <si>
    <t>Polígono Industrial</t>
  </si>
  <si>
    <t>Om Radio</t>
  </si>
  <si>
    <t>Ranking de los mejores lugares para trabajar en Argentina en 2026.</t>
  </si>
  <si>
    <t>https://poligono.com.ar/2026/03/13/mejores-lugares-para-trabajar-2026-ranking-en-argentina/</t>
  </si>
  <si>
    <t>Noticias Tornquist</t>
  </si>
  <si>
    <t>La Prensa</t>
  </si>
  <si>
    <t>La mañana (Bolivar)</t>
  </si>
  <si>
    <t>Info Cielo</t>
  </si>
  <si>
    <t>Lobos News</t>
  </si>
  <si>
    <t>Unipar fue reconocida entre los mejores lugares para trabajar en Argentina</t>
  </si>
  <si>
    <t>Seminario de Junín</t>
  </si>
  <si>
    <t>https://frenteacano.com.ar/unipar-fue-reconocida-entre-los-mejores-lugares-para-trabajar-en-argentina/</t>
  </si>
  <si>
    <t>La Voz de Quequén</t>
  </si>
  <si>
    <t>El Marplatense</t>
  </si>
  <si>
    <t>Radio Nacional</t>
  </si>
  <si>
    <t>Posturas Digital</t>
  </si>
  <si>
    <t>Diario San Rafael</t>
  </si>
  <si>
    <t>https://futurosustentable.com.ar/unipar-fue-reconocida-entre-los-mejores-lugares-para-trabajar-en-argentina/</t>
  </si>
  <si>
    <t>DossierNET</t>
  </si>
  <si>
    <t>Prensa de Mendoza</t>
  </si>
  <si>
    <t>Info Cronos</t>
  </si>
  <si>
    <t>ARG Medios</t>
  </si>
  <si>
    <t>Marcela Fittipladi Magazine</t>
  </si>
  <si>
    <t>https://www.ingenierowhite.com/2026/03/13/unipar-fue-reconocida-entre-los-mejores-lugares-para-trabajar-en-argentina-2026-porgreat-place-to-work/</t>
  </si>
  <si>
    <t>CONICET Intranet</t>
  </si>
  <si>
    <t>3D Games</t>
  </si>
  <si>
    <t>Economía &amp; Negocios</t>
  </si>
  <si>
    <t>Agenda Energética</t>
  </si>
  <si>
    <t>Unipar fue reconocida en el ranking de los mejores lugares para trabajar en Argentina por Great Place to Work.</t>
  </si>
  <si>
    <t>https://poligono.com.ar/2026/03/13/unipar-fue-reconocida-entre-los-mejores-lugares-para-trabajar-en-argentina-2026-por-great-place-to-work/</t>
  </si>
  <si>
    <t>InfoCámaras</t>
  </si>
  <si>
    <t>Diario El Paso</t>
  </si>
  <si>
    <t>GlobalPorts</t>
  </si>
  <si>
    <t>FM Urbana</t>
  </si>
  <si>
    <t>Bahia Noticias</t>
  </si>
  <si>
    <t>Ranking: Arcos Dorados, DHL y PedidosYa, mejores empresas para trabajar en Argentina 2026</t>
  </si>
  <si>
    <t>Ranking de las mejores empresas para trabajar en Argentina 2026.</t>
  </si>
  <si>
    <t>https://www.iprofesional.com/management/450137-ranking-arcos-dorados-dhl-y-pedidosya-mejores-empresas-para-trabajar-en-argentina-2026</t>
  </si>
  <si>
    <t>FM Universal</t>
  </si>
  <si>
    <t>360 más noticias</t>
  </si>
  <si>
    <t>4 semanas</t>
  </si>
  <si>
    <t>Río Negro verificó condiciones ambientales de una obra en salina El Gualicho</t>
  </si>
  <si>
    <t>Más Rio Negro</t>
  </si>
  <si>
    <t>El gobierno de Río Negro verificó las condiciones ambientales de una obra en la salina El Gualicho.</t>
  </si>
  <si>
    <t>El Digital de Bahia Web</t>
  </si>
  <si>
    <t>https://www.masrionegro.com/2026/03/16/rio-negro-verifico-condiciones-ambientales-de-una-obra-en-salina-el-gualicho/</t>
  </si>
  <si>
    <t>De la Bahia</t>
  </si>
  <si>
    <t>Puerto Bahía Blanca</t>
  </si>
  <si>
    <t>Unipar: jornada de recolección de semillas</t>
  </si>
  <si>
    <t>Unipar organizó una jornada de recolección de semillas.</t>
  </si>
  <si>
    <t>https://www.ingenierowhite.com/2026/03/16/unipar-jornada-de-recoleccion-de-semillas/</t>
  </si>
  <si>
    <t>El Efete</t>
  </si>
  <si>
    <t>El Rosalenio</t>
  </si>
  <si>
    <t>Fenix 95.1</t>
  </si>
  <si>
    <t>FM de la Bahia</t>
  </si>
  <si>
    <t>Industria química y gestión del agua: eficiencia, reutilización y sostenibilidad como ejes estratégicos</t>
  </si>
  <si>
    <t>Análisis sobre la industria química y la gestión del agua, enfocándose en la eficiencia, reutilización y sostenibilidad.</t>
  </si>
  <si>
    <t>https://futurosustentable.com.ar/industria-quimica-y-gestion-del-agua-eficiencia-reutilizacion-y-sostenibilidad-como-ejes-estrategicos/</t>
  </si>
  <si>
    <t>FM de la Calle</t>
  </si>
  <si>
    <t>FM Cristal</t>
  </si>
  <si>
    <t>FM Voz</t>
  </si>
  <si>
    <t>Designaciones en Mercado Libre, BASF y Eresagro</t>
  </si>
  <si>
    <t>Talento y Empresa</t>
  </si>
  <si>
    <t>Nuevas designaciones corporativas en Mercado Libre, BASF y Eresagro.</t>
  </si>
  <si>
    <t>https://www.talentoyempresa.com.ar/article/designaciones-en-mercado-libre-basf-y-eresagro</t>
  </si>
  <si>
    <t>De la calle web</t>
  </si>
  <si>
    <t>Noticias del municipio</t>
  </si>
  <si>
    <t>Radio Mega</t>
  </si>
  <si>
    <t>Construir cultura con foco en las personas, incluso en tiempos desafiantes</t>
  </si>
  <si>
    <t>Reporte de noticias a través de la plataforma GlobalNews.</t>
  </si>
  <si>
    <t>https://archivos.globalnews.com.ar/682/746/364/29.03.2026_1910_14eeaf0.jpg</t>
  </si>
  <si>
    <t>Serindustria</t>
  </si>
  <si>
    <t>Cerri.com web</t>
  </si>
  <si>
    <t>800.com</t>
  </si>
  <si>
    <t>Unipar y Bahía Blanca, una historia compartida</t>
  </si>
  <si>
    <t>Artículo sobre la historia compartida entre Unipar y la ciudad de Bahía Blanca.</t>
  </si>
  <si>
    <t>https://www.lanueva.com/puntaalta/nota/2026-4-11-4-0-36-unipar-y-bahia-blanca-una-historia-compartida</t>
  </si>
  <si>
    <t>Portal Bahiense</t>
  </si>
  <si>
    <t>La Izquierda Diario</t>
  </si>
  <si>
    <t>Cover News</t>
  </si>
  <si>
    <t>Che News</t>
  </si>
  <si>
    <t>https://sentinel.globalnewsgroup.com/ver-noticia?vd1B4HLJkCxKYgAKED0caHf9oI-M7NdPd_gAyaMpgBY</t>
  </si>
  <si>
    <t>Mega FM 97.5</t>
  </si>
  <si>
    <t>Pueyrredón y un nuevo club de pie con su nueva cancha de básquet</t>
  </si>
  <si>
    <t>Cobertura sobre la inauguración de la nueva cancha de básquet del club Pueyrredón.</t>
  </si>
  <si>
    <t>https://0291.com.ar/pueyrredon-y-un-nuevo-club-de-pie-con-su-nueva-cancha-de-basquet/</t>
  </si>
  <si>
    <t>Entre Rios Digital</t>
  </si>
  <si>
    <t>Clubes de pie: el Municipio reconstruirá los gimnasios derrumbados y fortalecerá a instituciones</t>
  </si>
  <si>
    <t>Información sobre el programa municipal Clubes de pie para reconstruir instituciones afectadas por el temporal.</t>
  </si>
  <si>
    <t>https://argensur.com.ar/publicacion/9166/clubes-de-pie--el-municipio-reconstruira-los-gimnasios-derrumbados-y-fortalecera-a-instituciones-que-hayan-sufrido-afecciones-por-el-temporal</t>
  </si>
  <si>
    <t>ArgeSUR [Carmen de Patagones]</t>
  </si>
  <si>
    <t>Urbana 93.9</t>
  </si>
  <si>
    <t>LU 3 Digital</t>
  </si>
  <si>
    <t>Que Pasa Ciudad</t>
  </si>
  <si>
    <t>Tras la inundación, el club Pueyrredón inauguró obras clave de recuperación</t>
  </si>
  <si>
    <t>Sentinel Global News Group</t>
  </si>
  <si>
    <t>Reporte sobre la inauguración de obras de recuperación en el club Pueyrredón tras las inundaciones.</t>
  </si>
  <si>
    <t>https://www.canalsiete.com.ar/c7-noticias/c7-otras-destacadas/2026/04/14/tras-la-inundacion-el-club-pueyrredon-inauguro-obras-clave-de-recuperacion/</t>
  </si>
  <si>
    <t>Tercer Tiempo</t>
  </si>
  <si>
    <t>Cambras</t>
  </si>
  <si>
    <t>Impacto Local</t>
  </si>
  <si>
    <t>Pueyrredón se suma a la recuperación: 64 clubes ya fueron asistidos por el programa Clubes de pie</t>
  </si>
  <si>
    <t>Revista Rojo</t>
  </si>
  <si>
    <t>Noticia sobre la asistencia del programa Clubes de pie a 64 instituciones, incluyendo al club Pueyrredón.</t>
  </si>
  <si>
    <t>https://www.delabahia.com.ar/pueyrredon-se-suma-a-la-recuperacion-64-clubes-ya-fueron-asistidos-por-el-programa-clubes-de-pie/</t>
  </si>
  <si>
    <t>Run Run Energético</t>
  </si>
  <si>
    <t>Parlamentario</t>
  </si>
  <si>
    <t>Cronistas del Mundo</t>
  </si>
  <si>
    <t>Panorama Alto Valle</t>
  </si>
  <si>
    <t>Semanario Bariloche</t>
  </si>
  <si>
    <t>Inversor Latam</t>
  </si>
  <si>
    <t>Programa Clubes de pie: Pueyrredón también inauguró obras</t>
  </si>
  <si>
    <t>ARS0,00</t>
  </si>
  <si>
    <t>Bahía Política</t>
  </si>
  <si>
    <t>Cobertura de la inauguración de obras en el club Pueyrredón como parte del programa Clubes de pie.</t>
  </si>
  <si>
    <t>https://frenteacano.com.ar/programa-clubes-de-pie-pueyrredon-tambien-inauguro-obras/</t>
  </si>
  <si>
    <t>Crónica del NOA</t>
  </si>
  <si>
    <t>Revista Imagen</t>
  </si>
  <si>
    <t>Nuevo Enfoque Urbano</t>
  </si>
  <si>
    <t>BNAmericas</t>
  </si>
  <si>
    <t>Pueyrredón se suma a la recuperación con Unipar como padrino: 64 clubes ya fueron asistidos por el programa Clubes de Pie</t>
  </si>
  <si>
    <t>El club Pueyrredón inaugura obras de recuperación tras la tormenta con el apadrinamiento de Unipar en el marco del programa Clubes de Pie.</t>
  </si>
  <si>
    <t>https://www.ingenierowhite.com/2026/04/14/pueyrredon-se-suma-a-la-recuperacion-con-unipar-como-padrino-64-clubes-ya-fueron-asistidos-por-el-programa-clubes-de-pie/</t>
  </si>
  <si>
    <t>Clubes de pie: Pueyrredón presentó las obras de en el Vicente Palermo</t>
  </si>
  <si>
    <t>Pueyrredón presentó las obras realizadas en el estadio Vicente Palermo a través del programa Clubes de Pie.</t>
  </si>
  <si>
    <t>https://www.lanueva.com/nota/2026-4-14-12-11-0-clubes-de-pie-pueyrredon-presento-las-obras-de-en-el-vicente-palermo</t>
  </si>
  <si>
    <t>Pueyrredón se suma a la recuperación: 64 clubes ya fueron asistidos por el programa Clubes de Pie</t>
  </si>
  <si>
    <t>Pueyrredón se recupera tras el temporal y se suma a los 64 clubes asistidos por el programa Clubes de Pie.</t>
  </si>
  <si>
    <t>https://portalbahiense.com.ar/pueyrredon-se-suma-a-la-recuperacion-64-clubes-ya-fueron-asistidos-por-el-programa-clubes-de-pie/</t>
  </si>
  <si>
    <t>https://bvcnoticias.com.ar/2026/04/pueyrredon-se-suma-a-la-recuperacion-64-clubes-ya-fueron-asistidos-por-el-programa-clubes-de-pie/</t>
  </si>
  <si>
    <t>Pueyrredón inauguró obras en el marco del programa Clubes de Pie: "Es un empujón enorme"</t>
  </si>
  <si>
    <t>El club Pueyrredón inauguró obras de infraestructura con el apoyo del programa Clubes de Pie, destacando el gran impulso recibido.</t>
  </si>
  <si>
    <t>https://urbana939.com.ar/pueyrredon-inauguro-obras-en-el-marco-del-programa-clubes-de-pie-es-un-empujon-enorme/</t>
  </si>
  <si>
    <t>Clubes de pie: Con una inversión de 33 millones de pesos, Pueyrredón inauguró sus nuevas instalaciones</t>
  </si>
  <si>
    <t>Con una inversión de 33 millones de pesos, el club Pueyrredón inauguró sus nuevas instalaciones gracias al programa Clubes de Pie.</t>
  </si>
  <si>
    <t>https://lu3digital.com.ar/clubes-de-pie-con-una-inversion-de-33-millones-de-pesos-pueyrredon-inauguro-sus-nuevas-instalaciones/</t>
  </si>
  <si>
    <t>Clubes de Pie: Pueyrredón inauguró obras de infraestructura tras la inundación</t>
  </si>
  <si>
    <t>El club Pueyrredón inauguró obras de infraestructura para recuperarse de la inundación, apoyado por el programa Clubes de Pie.</t>
  </si>
  <si>
    <t>https://quepasaciudad.com.ar/clubes-de-pie-pueyrredon-inauguro-obras-de-infraestructura-tras-la-inundacion/</t>
  </si>
  <si>
    <t>El club Pueyrredón inaugura su nueva cancha de básquet gracias al programa Clubes de Pie.</t>
  </si>
  <si>
    <t>Las empresas distinguidas en un año agitado</t>
  </si>
  <si>
    <t>Documento compartido a través de Google Drive.</t>
  </si>
  <si>
    <t>https://drive.google.com/file/d/1Cm1nCJAXrtx1ZwRypRzGfSMRYtv5Wpjz/view?usp=sharing</t>
  </si>
  <si>
    <t>Unipar, protagonista de 2025: la salud mental en la agenda</t>
  </si>
  <si>
    <t>Artículo sobre cómo Unipar fue protagonista en 2025 poniendo la salud mental en la agenda.</t>
  </si>
  <si>
    <t>https://mercado.com.ar/protagonistas/unipar-protagonista-de-2025-la-salud-mental-en-la-agenda</t>
  </si>
  <si>
    <t>Los CEOs le ponen nota al gobierno</t>
  </si>
  <si>
    <t>https://sentinel.globalnewsgroup.com/ver-noticia?YM6l55J6PPhVFx_tKMuo5nWj9-bZofqDTIaOmMzqpIU</t>
  </si>
  <si>
    <t>Escenario Político Económico</t>
  </si>
  <si>
    <t>Empresas B: Argentina en el "top ten" mundial</t>
  </si>
  <si>
    <t>https://sentinel.globalnewsgroup.com/ver-noticia?ZqVcY8CYVc7o2lmGp87B6yGet9Wb_VPLNkfWL7XMovc</t>
  </si>
  <si>
    <t>Quién es Quién - 2026</t>
  </si>
  <si>
    <t>Perfil corporativo de la empresa Unipar en la sección Quién es Quién.</t>
  </si>
  <si>
    <t>https://www.cronista.com/quien-es-quien/empresa/unipar/</t>
  </si>
  <si>
    <t>https://drive.google.com/file/d/1MAMyVunXZU1n06GOMh8vkvepeMaxL3bV/view?usp=sharing</t>
  </si>
  <si>
    <t>Día de la industria minera: el rol estratégico de los proveedores para potenciar el crecimiento del sector</t>
  </si>
  <si>
    <t>Destaca la importancia de los proveedores locales para el crecimiento del sector minero.</t>
  </si>
  <si>
    <t>https://poligono.com.ar/2026/05/07/dia-de-la-industria-minera-el-rol-estrategico-de-los-proveedores-para-potenciar-el-crecimiento-del-sector/</t>
  </si>
  <si>
    <t>Litio: el rol clave de los proveedores en la nueva escala minera</t>
  </si>
  <si>
    <t>Informe sobre la cadena de valor del litio y el papel fundamental de los proveedores.</t>
  </si>
  <si>
    <t>https://www.elobservador.com.uy/argentina/economia-y-negocios/litio-el-rol-clave-los-proveedores-la-nueva-escala-minera-n6043646</t>
  </si>
  <si>
    <t>Posta para inflamables Puerto Bahía Blanca</t>
  </si>
  <si>
    <t>Reporte sobre la infraestructura y operaciones de la posta de inflamables en Bahía Blanca.</t>
  </si>
  <si>
    <t>https://www.globalports.com.ar/posta-para-inflamables-puerto-bahia-blanca/</t>
  </si>
  <si>
    <t>Logística y Seguridad</t>
  </si>
  <si>
    <t>Competitividad y valor agregado: temas de la Jornada Petroquímica 2026 del IPA</t>
  </si>
  <si>
    <t>Anticipo de los ejes temáticos de la Jornada Petroquímica 2026 organizada por el IPA.</t>
  </si>
  <si>
    <t>https://econojournal.com.ar/2026/05/competitividad-y-valor-agregado-los-temas-que-marcaran-la-agenda-de-la-jornada-petroquimica-2026-del-ipa/</t>
  </si>
  <si>
    <t>Escuelas técnicas bajo fuego: las quieren desfinanciadas</t>
  </si>
  <si>
    <t>Análisis crítico sobre las reformas en educación técnica y su impacto en el financiamiento.</t>
  </si>
  <si>
    <t>https://www.laizquierdadiario.com/Escuelas-tecnicas-bajo-fuego-las-quieren-desfinanciadas-descentralizadas-y-para-las-empresas</t>
  </si>
  <si>
    <t>Detalles sobre la agenda y objetivos estratégicos del próximo encuentro del sector.</t>
  </si>
  <si>
    <t>https://www.diarioelpaso.com/2026/05/20/competitividad-y-valor-agregado-los-temas-que-marcaran-la-agenda-de-la-jornada-petroquimica-2026-del-ipa/</t>
  </si>
  <si>
    <t>Resumen de la propuesta temática para el evento anual del Instituto Petroquímico Argentino.</t>
  </si>
  <si>
    <t>https://www.infocamaras.com.ar/competitividad-y-valor-agregado-los-temas-que-marcaran-la-agenda-de-la-jornada-petroquimica-2026-del-ipa/</t>
  </si>
  <si>
    <t>Información sobre la Jornada Petroquímica enfocada en la competitividad industrial.</t>
  </si>
  <si>
    <t>https://norteenlinea.com/competitividad-y-valor-agregado-los-temas-que-marcaran-la-agenda-de-la-jornada-petroquimica-2026-del-ipa/</t>
  </si>
  <si>
    <t>El IPA hará el 9 de junio la Jornada Petroquímica 2026 en el C3</t>
  </si>
  <si>
    <t>Anuncio oficial de la fecha y sede (Centro Cultural de la Ciencia) del evento del IPA.</t>
  </si>
  <si>
    <t>https://mercado.com.ar/agenda/el-ipa-hara-el-9-de-junio-la-jornada-petroquimica-2026-en-el-c3</t>
  </si>
  <si>
    <t>Unipar ratificó su apoyo a Huertas de la Ciudad y ya impulsa 70 huertas en Bahía Blanca</t>
  </si>
  <si>
    <t>Unipar renovó su compromiso con el programa Huertas de la Ciudad</t>
  </si>
  <si>
    <t>https://argenports.com/nota/unipar-ratifico-su-apoyo-a-huertas-de-la-ciudad-y-ya-impulsa-70-huertas-en-bahia-blanca/</t>
  </si>
  <si>
    <t>Cuarto año de Huertas de la Ciudad junto a Unipar</t>
  </si>
  <si>
    <t>Celebración del cuarto año de colaboración entre Unipar y el programa municipal de huertas comunitarias en Bahía Blanca.</t>
  </si>
  <si>
    <t>https://frenteacano.com.ar/cuarto-ano-de-huertas-de-la-ciudad-junto-a-unipar/</t>
  </si>
  <si>
    <t>Unipar acompaña por cuarto año a Huertas de la Ciudad</t>
  </si>
  <si>
    <t>La empresa Unipar mantiene su apoyo sostenido al proyecto de huertas urbanas locales por cuarto año consecutivo.</t>
  </si>
  <si>
    <t>https://www.ingenierowhite.com/2026/05/22/unipar-acompana-por-cuarto-ano-a-huertas-de-la-ciudad/</t>
  </si>
  <si>
    <t>Informe sobre la continuidad de la alianza estratégica entre Unipar y la iniciativa de huertas bahienses.</t>
  </si>
  <si>
    <t>https://poligono.com.ar/2026/05/22/unipar-acompana-por-cuarto-ano-a-huertas-de-la-ciudad/</t>
  </si>
  <si>
    <t>Del shale al valor agregado: la industria petroquímica busca convertir el boom de Vaca Muerta en inversiones</t>
  </si>
  <si>
    <t>Análisis sobre cómo la industria petroquímica busca capitalizar el recurso de Vaca Muerta mediante nuevas inversiones y agregado de valor.</t>
  </si>
  <si>
    <t>https://www.mejorenergia.com.ar/noticias/2026/05/27/5709-del-shale-al-valor-agregado-la-industria-petroquimica-busca-convertir-el-boom-de-vaca-muerta-en-inversiones</t>
  </si>
  <si>
    <t>El IPA realizará la Jornada Petroquímica 2026 el 9 de junio en el C3</t>
  </si>
  <si>
    <t>Difusión de la convocatoria del Instituto Petroquímico Argentino para su evento anual centrado en la competitividad del sector.</t>
  </si>
  <si>
    <t>https://www.prensa-energetica.com.ar/Prensa-Energetica-Nota-689.html</t>
  </si>
  <si>
    <t>Anuncio sobre la realización de la jornada técnica del IPA en el Centro Cultural de la Ciencia (C3) para debatir el futuro de la industria.</t>
  </si>
  <si>
    <t>https://runrunenergetico.com/el-ipa-realizara-la-jornada-petroquimica-2026-el-9-de-junio-en-el-c3/</t>
  </si>
  <si>
    <t>Competitividad y valor agregado: los temas que marcarán la agenda de la Jornada Petroquímica 2026 del IPA</t>
  </si>
  <si>
    <t>Resumen de los ejes temáticos de la próxima Jornada Petroquímica</t>
  </si>
  <si>
    <t>https://covernews.press/competitividad-y-valor-agregado-los-temas-que-marcaran-la-agenda-de-la-jornada-petroquimica-2026-del-ipa/</t>
  </si>
  <si>
    <t>Unipar superó sus metas ambientales y destacó avances en Bahía Blanca en su reporte de sustentabilidad 2025</t>
  </si>
  <si>
    <t>Reporte sobre el cumplimiento de metas ambientales y avances en Bahía Blanca según el reporte de sustentabilidad 2025 de Unipar.</t>
  </si>
  <si>
    <t>https://argenports.com/nota/unipar-supero-sus-metas-ambientales-y-destaco-avances-en-bahia-blanca-en-su-reporte-de-sustentabilidad-2025/</t>
  </si>
  <si>
    <t>Rodrigo Cannaval</t>
  </si>
  <si>
    <t>Unipar presentó su reporte de sustentabilidad 2025 con avances récord en energía y emisiones</t>
  </si>
  <si>
    <t>Cobertura sobre la presentación del reporte de sustentabilidad 2025 de Unipar, destacando avances récord en energía y emisiones.</t>
  </si>
  <si>
    <t>https://futurosustentable.com.ar/unipar-presento-su-reporte-de-sustentabilidad-2025-con-avances-record-en-energia-y-emisiones/</t>
  </si>
  <si>
    <t>Unipar presenta su reporte de sostenibilidad 2025 con resultados que superan el cumplimiento de sus compromisos</t>
  </si>
  <si>
    <t>Noticia sobre los resultados del reporte de sostenibilidad 2025 de Unipar, superando sus compromisos.</t>
  </si>
  <si>
    <t>https://www.lanueva.com/nota/2026-6-1-16-37-0-unipar-presenta-su-reporte-de-sostenibilidad-2025-con-resultados-que-superan-el-cumplimiento-de-sus-compromisos#:~:text=La%20ciudad.-,Unipar%20presenta%20su%20Reporte%20de%20Sostenibilidad%202025%20con%20resultados%20que,seguridad%20y%20la%20evoluci%C3%B3n%20continua.</t>
  </si>
  <si>
    <t>Unipar presentó su reporte de sostenibilidad 2025</t>
  </si>
  <si>
    <t>Información sobre la presentación del reporte de sostenibilidad 2025 de Unipar.</t>
  </si>
  <si>
    <t>https://poligono.com.ar/2026/06/01/unipar-presento-su-reporte-de-sostenibilidad-2025/</t>
  </si>
  <si>
    <t>https://ciudadportuaria.com.ar/actualidad/unipar-presento-su-reporte-de-sostenibilidad-2025/</t>
  </si>
  <si>
    <t>Competitividad, inversión y desarrollo industrial: ejes de la Jornada Petroquímica 2026 del IPA</t>
  </si>
  <si>
    <t>Artículo sobre los ejes de la Jornada Petroquímica 2026 del IPA, enfocados en competitividad, inversión y desarrollo industrial.</t>
  </si>
  <si>
    <t>https://impactolocal.com.ar/competitividad-inversion-y-desarrollo-industrial-ejes-de-la-jornada-petroquimica-2026-del-ipa</t>
  </si>
  <si>
    <t>https://norteenlinea.com/competitividad-inversion-y-desarrollo-industrial-ejes-de-la-jornada-petroquimica-2026-del-ipa/</t>
  </si>
  <si>
    <t>En Unipar la sustentabilidad no se gestiona como una agenda paralela</t>
  </si>
  <si>
    <t>Nota sobre la gestión integral de la sustentabilidad en Unipar, destacando que no es una agenda paralela.</t>
  </si>
  <si>
    <t>https://sustenomics.com/en-unipar-la-sustentabilidad-no-se-gestiona-como-una-agenda-paralela/</t>
  </si>
  <si>
    <t>https://econojournal.com.ar/2026/06/competitividad-inversion-y-desarrollo-industrial-ejes-de-la-jornada-petroquimica-2026-del-ipa/</t>
  </si>
  <si>
    <t>Presentación del reporte de sostenibilidad 2025 de Unipar, destacando resultados que superan sus compromisos.</t>
  </si>
  <si>
    <t>https://cambras.org.ar/unipar-presenta-su-reporte-de-sostenibilidad-2025-con-resultados-que-superan-el-cumplimiento-de-sus-compromisos/</t>
  </si>
  <si>
    <t>Unipar reprogramó su jornada abierta con simuladores de manejo por razones climáticas</t>
  </si>
  <si>
    <t>Información sobre la reprogramación de la jornada abierta de Unipar con simuladores de manejo debido a razones climáticas.</t>
  </si>
  <si>
    <t>https://argenports.com/nota/unipar-reprogramo-su-jornada-abierta-con-simuladores-de-manejo-por-razones-climaticas/</t>
  </si>
  <si>
    <t>El desafío ya extraer gas convertirlo industria exportaciones</t>
  </si>
  <si>
    <t>Análisis sobre el desafío de extraer gas y convertirlo en industria y exportaciones.</t>
  </si>
  <si>
    <t>https://eleconomista.com.ar/energia/el-desafio-ya-extraer-gas-convertirlo-industria-exportaciones-n95662</t>
  </si>
  <si>
    <t>https://revistarojo.com.ar/competitividad-inversion-y-desarrollo-industrial-ejes-de-la-jornada-petroquimica-2026-del-ipa/</t>
  </si>
  <si>
    <t>Del agua a la cancha: la reconstrucción de los pisos deportivos en Bahía Blanca</t>
  </si>
  <si>
    <t>Reporte sobre la reconstrucción de los pisos deportivos en Bahía Blanca.</t>
  </si>
  <si>
    <t>https://masindustrias.com.ar/del-agua-a-la-cancha-la-reconstruccion-de-los-pisos-deportivos-en-bahia-blanca/</t>
  </si>
  <si>
    <t>Cobertura sobre los resultados del reporte de sostenibilidad 2025 de Unipar, superando sus compromisos.</t>
  </si>
  <si>
    <t>https://www.ingenierowhite.com/2026/06/02/unipar-presenta-su-reporte-de-sostenibilidad-2025-con-resultados-que-superan-el-cumplimiento-de-sus-compromisos/</t>
  </si>
  <si>
    <t>https://bahiaproductiva.com/2026/06/02/unipar-presenta-su-reporte-de-sostenibilidad-2025-con-resultados-que-superan-el-cumplimiento-de-sus-compromisos/#:~:text=Industria-,Unipar%20presenta%20su%20Reporte%20de%20Sostenibilidad%202025%20con%20resultados%20que,realizadas%20durante%20los%20%C3%BAltimos%20a%C3%B1os</t>
  </si>
  <si>
    <t>Unipar profundiza inversiones para reducir emisiones y mejorar la eficiencia</t>
  </si>
  <si>
    <t>Análisis de las inversiones de Unipar para reducir emisiones y mejorar la eficiencia.</t>
  </si>
  <si>
    <t>https://gerencia-ambiental.com/unipar-profundiza-inversiones-para-reducir-emisiones-y-mejorar-la-eficiencia/</t>
  </si>
  <si>
    <t>Inversiones sostenibles Unipar</t>
  </si>
  <si>
    <t>Reporte sobre las inversiones sostenibles realizadas por Unipar.</t>
  </si>
  <si>
    <t>https://www.tercertiempo.news/empresas/inversiones-sostenibles-unipar/</t>
  </si>
  <si>
    <t>Entre retrocesos y pequeñas victorias</t>
  </si>
  <si>
    <t>Artículo de opinión sobre los retrocesos y pequeñas victorias en el ámbito de la sustentabilidad.</t>
  </si>
  <si>
    <t>https://chenewsar.substack.com/p/entre-retrocesos-y-pequenas-victorias</t>
  </si>
  <si>
    <t>Sostenibilidad del compromiso a la acción concreta</t>
  </si>
  <si>
    <t>Sostenibilidad del compromiso a la acción concreta.</t>
  </si>
  <si>
    <t>https://www.lanueva.com/nota/2026-6-7-4-15-31-sostenibilidad-del-compromiso-a-la-accion-concreta</t>
  </si>
  <si>
    <t>https://sentinel.globalnewsgroup.com/ver-noticia?StazM6vp91jmcakWHOBDvG3l6QTNgb3iGvNSS5TlmxQ</t>
  </si>
  <si>
    <t>Unipar presenta su reporte de sostenibilidad 2025 con resultados que superan el cumplimiento de sus compromisos.</t>
  </si>
  <si>
    <t>http://mercado.com.ar/protagonistas/unipar-presenta-su-reporte-de-sostenibilidad-2025-con-resultados-que-superan-el-cumplimiento-de-sus-compromisos</t>
  </si>
  <si>
    <t>Unipar consolida su estrategia de sostenibilidad con metas y resultados concretos</t>
  </si>
  <si>
    <t>Unipar consolida su estrategia de sostenibilidad con metas y resultados concretos.</t>
  </si>
  <si>
    <t>https://masindustrias.com.ar/unipar-consolida-su-estrategia-de-sostenibilidad-con-metas-y-resultados-concretos/</t>
  </si>
  <si>
    <t>Unipar realizará una jornada abierta con simuladores de manejo por el Día Nacional de la Seguridad Vial</t>
  </si>
  <si>
    <t>Unipar realizará una jornada abierta con simuladores de manejo por el Día Nacional de la Seguridad Vial.</t>
  </si>
  <si>
    <t>https://argenports.com/nota/unipar-realizara-una-jornada-abierta-con-simuladores-de-manejo-por-el-dia-nacional-de-la-seguridad-vial/</t>
  </si>
  <si>
    <t>Unipar impulsa una jornada de concientización por el Día Nacional de la Seguridad Vial</t>
  </si>
  <si>
    <t>Unipar impulsa una jornada de concientización por el Día Nacional de la Seguridad Vial.</t>
  </si>
  <si>
    <t>https://frenteacano.com.ar/unipar-impulsa-una-jornada-de-concientizacion-por-el-dia-nacional-de-la-seguridad-vial/</t>
  </si>
  <si>
    <t>https://www.ingenierowhite.com/2026/06/08/unipar-impulsa-una-jornada-de-concientizacion-por-el-dia-nacional-de-la-seguridad-vial/?utm_source=dlvr.it&amp;utm_medium=twitter</t>
  </si>
  <si>
    <t>https://www.lanueva.com/nota/2026-6-8-16-57-0-unipar-impulsa-una-jornada-de-concientizacion-por-el-dia-nacional-de-la-seguridad-vial</t>
  </si>
  <si>
    <t>https://poligono.com.ar/2026/06/08/unipar-impulsa-una-jornada-de-concientizacion-por-el-dia-nacional-de-la-seguridad-vial/</t>
  </si>
  <si>
    <t>Unipar cierra su ciclo estratégico 2025 con un 79% de energía renovable y una reducción de emisiones del 22%</t>
  </si>
  <si>
    <t>Unipar finalizó su ciclo estratégico 2025 alcanzando un 79% de uso de energía renovable y reduciendo sus emisiones en un 22%.</t>
  </si>
  <si>
    <t>https://comunicarseweb.com/unipar-cierra-su-ciclo-estrategico-2025-con-un-79-de-energia-renovable-y-una-reduccion-de-emisiones-del-22/</t>
  </si>
  <si>
    <t>https://ciudadportuaria.com.ar/actualidad/unipar-impulsa-una-jornada-de-concientizacion-por-el-dia-nacional-de-la-seguridad-vial/</t>
  </si>
  <si>
    <t>https://bahiaproductiva.com/2026/06/09/unipar-impulsa-una-jornada-de-concientizacion-por-el-dia-nacional-de-la-seguridad-vial/</t>
  </si>
  <si>
    <t>https://www.labrujula24.com/notas/2026/06/09/unipar-impulsa-una-jornada-de-concientizacion-por-el-dia-nacional-de-la-seguridad-vial-n504434/</t>
  </si>
  <si>
    <t>Competitividad, inversión y desarrollo industrial: ejes de la Jornada Petroquímica 2026 del IPA.</t>
  </si>
  <si>
    <t>https://www.diarioelpaso.com/2026/06/11/competitividad-inversion-y-desarrollo-industrial-ejes-de-la-jornada-petroquimica-2026-del-ipa/</t>
  </si>
  <si>
    <t>Seguridad vial: la actividad de Unipar se reprograma de viernes a sábado por razones climáticas</t>
  </si>
  <si>
    <t>Noticia sobre la reprogramación de la actividad de seguridad vial de Unipar por cuestiones climáticas.</t>
  </si>
  <si>
    <t>https://www.ingenierowhite.com/2026/06/11/seguridad-vial-la-actividad-de-unipar-se-reprograma-de-viernes-a-sabado-por-razones-climaticas/</t>
  </si>
  <si>
    <t>Mostrar lo que somos define hacia dónde vamos</t>
  </si>
  <si>
    <t>https://sentinel.globalnewsgroup.com/ver-noticia?dMrHCpdf80JOqcpD2B54ZybjRzy9Dr3IpAPbWFVpuDU</t>
  </si>
  <si>
    <t>Competitividad, inversión y desarrollo industrial: ejes de la |ornada Petroquímica 2026</t>
  </si>
  <si>
    <t>https://sentinel.globalnewsgroup.com/ver-noticia?XrSPaVCUw2rZDpi9XqtRuCy2j8vfuA8SG9y8uam1eX0</t>
  </si>
  <si>
    <t>Otro gran local gastronómico en Alem, los shop in shop y el J ́m de dos "mitos"</t>
  </si>
  <si>
    <t>https://sentinel.globalnewsgroup.com/ver-noticia?A1G4nlEH_UXKbpYc2iMP4a6S-2QPzy6mmLK-LYAqttg</t>
  </si>
  <si>
    <t>Nota sobre la apertura de un nuevo local gastronómico en Alem y tendencias comerciales.</t>
  </si>
  <si>
    <t>https://www.lanueva.com/nota/2026-6-21-5-0-15-otro-gran-local-gastronomico-en-alem-los-shop-in-shop-y-el-fin-de-dos-mitos-comerciales</t>
  </si>
  <si>
    <t>El polo petroquímico de Bahía Blanca concentra más de la mitad de la capacidad instalada del país</t>
  </si>
  <si>
    <t>Reporte sobre la concentración de la capacidad instalada en el polo petroquímico de Bahía Blanca.</t>
  </si>
  <si>
    <t>https://masindustrias.com.ar/el-polo-petroquimico-de-bahia-blanca-concentra-mas-de-la-mitad-de-la-capacidad-instalada-del-pais/</t>
  </si>
  <si>
    <t>Matías Campodónico fue reelegido presidente de la CIQyP para el período 2026-2028</t>
  </si>
  <si>
    <t>Noticia sobre la reelección de Matías Campodónico como presidente de la CIQyP.</t>
  </si>
  <si>
    <t>https://mercado.com.ar/talento-y-liderazgo/matias-campodonico-fue-reelegido-presidente-de-la-ciqyp-para-el-periodo-2026-2028</t>
  </si>
  <si>
    <t>Matías Campodónico fue reelegido presidente de la Cámara de la Industria Química y Petroquímica para el período 2026-2028</t>
  </si>
  <si>
    <t>Anuncio de la reelección de Matías Campodónico como presidente de la Cámara de la Industria Química y Petroquímica.</t>
  </si>
  <si>
    <t>https://norteenlinea.com/matias-campodonico-fue-reelegido-presidente-de-la-camara-de-la-industria-quimica-y-petroquimica-para-el-periodo-2026-2028/</t>
  </si>
  <si>
    <t>Matías Campodónico fue reelegido presidente de la Cámara de la Industria Química y Petroquímica</t>
  </si>
  <si>
    <t>Unipar nombrado como parte de la comisión directiva de la Cámara de la Industria Química y Petroquímica</t>
  </si>
  <si>
    <t>https://infonegocios.info/infogerentes/matias-campodonico-fue-reelegido-presidente-de-la-camara-de-la-industria-quimica-y-petroquimica</t>
  </si>
  <si>
    <t>La Cámara de la Industria Química y Petroquímica renueva autoridades y confirma a Matías Campodónico como presidente para el período 2026-2028</t>
  </si>
  <si>
    <t>https://runrunenergetico.com/la-camara-de-la-industria-quimica-y-petroquimica-renueva-autoridades-y-confirma-a-matias-campodonico-como-presidente-para-el-periodo-2026-2028/</t>
  </si>
  <si>
    <t>Campodónico fue reelegido al frente de la CIQyP para el período 2026-2028</t>
  </si>
  <si>
    <t>https://www.parlamentario.com/2026/07/01/campodonico-fue-reelegido-al-frente-de-la-ciqyp-para-el-periodo-2026-2028/</t>
  </si>
  <si>
    <t>Bahía Blanca concentra más de la mitad de toda la capacidad petroquímica instalada del país</t>
  </si>
  <si>
    <t>https://argenports.com/nota/bahia-blanca-concentra-mas-de-la-mitad-de-toda-la-capacidad-petroquimica-instalada-del-pais/</t>
  </si>
  <si>
    <t>Matías Campodónico fue reelegido presidente de la Industria Química y Petroquímica Argentina</t>
  </si>
  <si>
    <t>https://argenports.com/nota/matias-campodonico-fue-reelegido-presidente-de-la-industria-quimica-y-petroquimica-argentina/</t>
  </si>
  <si>
    <t>https://cronistasdelmundo.com.ar/actualidad/matias-campodonico-fue-reelegido-presidente-de-la-camara-de-la-industria-quimica-y-petroquimica/</t>
  </si>
  <si>
    <t>Revista Mercado Especial de Talento - Sentido de pertenencia</t>
  </si>
  <si>
    <t>Paga</t>
  </si>
  <si>
    <t>Entrevista a Martín Fasano - Especial Mercado</t>
  </si>
  <si>
    <t>Unipar_Mercado-1270.pdf</t>
  </si>
  <si>
    <t>Las 1000 que más exportan</t>
  </si>
  <si>
    <t xml:space="preserve">Ranking - Unipar puesto 95 en 2025, y 33 en 2024.
</t>
  </si>
  <si>
    <t>https://drive.google.com/file/d/1L2YR3Vp_4TfUknzk33Ez2J9skotcwiu5/view?usp=sharing</t>
  </si>
  <si>
    <t>Siete años transformando el diálogo en acciones para la comunidad</t>
  </si>
  <si>
    <t>Celebración de siete años transformando el diálogo en acciones para la comunidad.</t>
  </si>
  <si>
    <t>https://poligono.com.ar/2026/07/24/siete-anos-transformando-el-dialogo-en-acciones-para-la-comunidad/</t>
  </si>
  <si>
    <t>Manuela Fagundez</t>
  </si>
  <si>
    <t>https://www.ingenierowhite.com/2026/07/24/siete-anos-transformando-el-dialogo-en-acciones-para-la-comunidad/</t>
  </si>
  <si>
    <t>https://bahiaproductiva.com/2026/07/24/siete-anos-transformando-el-dialogo-en-acciones-para-la-comunidad/</t>
  </si>
  <si>
    <t>Unipar destacó siete años de trabajo de su consejo comunitario consultivo con proyectos para Ingeniero White</t>
  </si>
  <si>
    <t>Unipar destaca 7 años de trabajo de su Consejo Comunitario Consultivo con proyectos en Ingeniero White.</t>
  </si>
  <si>
    <t>https://argenports.com/nota/unipar-destaco-siete-anos-de-trabajo-de-su-consejo-comunitario-consultivo-con-proyectos-para-ingeniero-white/</t>
  </si>
  <si>
    <t>El consejo comunitario consultivo de Unipar celebra su séptimo aniversario</t>
  </si>
  <si>
    <t>El Consejo Comunitario Consultivo de Unipar celebra su séptimo aniversario.</t>
  </si>
  <si>
    <t>https://frenteacano.com.ar/el-consejo-comunitario-consultivo-de-unipar-celebra-su-septimo-aniversario/</t>
  </si>
  <si>
    <t>Unipar siete años transformando el diálogo en acciones para la comunidad</t>
  </si>
  <si>
    <t>https://ciudadportuaria.com.ar/actualidad/unipar-siete-anos-transformando-el-dialogo-en-acciones-para-la-comunidad/</t>
  </si>
  <si>
    <t>Producción petroquímica en Bahía Blanca: la ciudad concentra el 67% del total nacional</t>
  </si>
  <si>
    <t>Unipar alcanzó máximos históricos abasteciendo el 44% del cloro nacional y el 45% de la soda cáustica del país, según un informe del Creebba sobre Bahía Blanca.</t>
  </si>
  <si>
    <t>https://www.globalports.com.ar/produccion-petroquimica-bahia-blanca-creebba/</t>
  </si>
  <si>
    <t>El nuevo contrato productivo para competir en el mundo</t>
  </si>
  <si>
    <t>Artículo de opinión de Guillermo Petracci, Director de Unipar Argentina, sobre la necesidad de un nuevo contrato productivo público-privado para impulsar la competitividad global de la industria química y petroquímica, destacando el rol de Vaca Muerta.</t>
  </si>
  <si>
    <t>https://sentinel.globalnewsgroup.com/ver-noticia?pGmN4jSceb_KEpYdaKtSRRVoCY0MzTdhgg1jPnlmw4o</t>
  </si>
  <si>
    <t>Matías Campodónico fue reelecto presidente de la Cámara de la Industria Química y Petroquímica</t>
  </si>
  <si>
    <t>Unipar nombrado como parte de la comisión directiva de la Cámara de la Industria Química y Petroquímica (Guillermo Petracci como protesorero 1º).</t>
  </si>
  <si>
    <t>https://sentinel.globalnewsgroup.com/ver-noticia?z3QY_1MaRdf1nxIEEPLM8rL8ApcrWCsAYzZNhsWW8cA</t>
  </si>
  <si>
    <t>Controles ambientales acompañan la producción en Salinas del Gualicho</t>
  </si>
  <si>
    <t>Río Negro inspeccionó el yacimiento de halita General San Martín en Salinas del Gualicho, controlando el cumplimiento de la normativa ambiental (impacto ambiental, residuos especiales y expendio de combustible). Busca garantizar que la producción crezca bajo estándares de sostenibilidad.</t>
  </si>
  <si>
    <t>http://www.panoramarnqn.com.ar/2026/07/controles-ambientales-acompanan-la-produccion-en-salinas-del-gualicho/</t>
  </si>
  <si>
    <t>https://informativohoy.com.ar/controles-ambientales-acompanan-la-produccion-en-salinas-del-gualicho/</t>
  </si>
  <si>
    <t>Controles ambientales de la producción en Salinas del Gualicho</t>
  </si>
  <si>
    <t>https://www.masrionegro.com/2026/07/27/controles-ambientales-de-la-produccion-en-salinas-del-gualicho/</t>
  </si>
  <si>
    <t>Controles ambientales en Salinas del Gualicho</t>
  </si>
  <si>
    <t>https://semanariobariloche.com.ar/controles-ambientales-en-salinas-del-gualicho/</t>
  </si>
  <si>
    <t>no menciona</t>
  </si>
  <si>
    <t>Río Negro realizó una nueva inspección ambiental en el yacimiento General San Martín</t>
  </si>
  <si>
    <t>Este sur</t>
  </si>
  <si>
    <t>https://estesur.com.ar/articulo/2026/07/rio-negro-realizo-una-nueva-inspeccion-ambiental-en-el-yacimiento-general-san-martin.php</t>
  </si>
  <si>
    <t>El balance de los siete años de trabajo colaborativo del Consejo Comunitario Consultivo de Unipar</t>
  </si>
  <si>
    <t>Unipar celebró los siete años de su Consejo Comunitario Consultivo: 20 vecinos y referentes de Bahía Blanca e Ingeniero White impulsaron 35 proyectos y 12 campañas de salud, como la Campaña de Abrigo, Octubre Rosa y Navidad Feliz. La empresa lo posiciona como su principal herramienta de diálogo y participación con la comunidad.</t>
  </si>
  <si>
    <t>https://sustenomics.com/el-balance-de-los-siete-anos-de-trabajo-colaborativo-del-consejo-comunitario-consultivo-de-unipar/</t>
  </si>
  <si>
    <t>Unipar celebra siete años de su Consejo Comunitario Consultivo con 35 proyectos de impacto social en Ingeniero White</t>
  </si>
  <si>
    <t>https://futurosustentable.com.ar/unipar-celebra-siete-anos-de-su-consejo-comunitario-consultivo-con-35-proyectos-de-impacto-social-en-ingeniero-white/</t>
  </si>
  <si>
    <t>Martín Fasano, de Unipar: “Tenemos una cultura basada en el comportamiento ético y el respeto”</t>
  </si>
  <si>
    <t>Martín Fasano, líder de Unipar, destaca que la empresa cuenta con una sólida cultura corporativa fundamentada en el comportamiento ético y el respeto.</t>
  </si>
  <si>
    <t>https://mercado.com.ar/talento-y-liderazgo/martin-fasano-de-unipar-tenemos-una-cultura-basada-en-el-comportamiento-etico-y-el-respeto</t>
  </si>
  <si>
    <t>Martin Fasano</t>
  </si>
  <si>
    <t>Unipar redujo 22% sus emisiones y apunta a profundizar su estrategia de sustentabilidad</t>
  </si>
  <si>
    <t>Unipar redujo 22% sus emisiones de GEI desde 2020 (el doble de su meta) y llegó al 79% de energía eléctrica renovable. También recuperó 170.000 m³ de agua en su planta de PVC y homologó al 100% sus proveedores bajo criterios de sustentabilidad, con la mira puesta en -30% de emisiones para 2030 y neutralidad de carbono para 2050.</t>
  </si>
  <si>
    <t>https://gerencia-ambiental.com/unipar-redujo-22-sus-emisiones-y-apunta-a-profundizar-su-estrategia-de-sustentabilidad/</t>
  </si>
  <si>
    <t>Laura Gutierrez; Gabriel Stachiotti</t>
  </si>
  <si>
    <t>El Summit de Residuos puso en agenda los desafíos de la gestión urbana y la economía circular</t>
  </si>
  <si>
    <t>El Summit de Residuos (Universidad Austral + Futuro Sustentable, CABA) reunió a empresas, gobiernos y academia para hablar de gestión urbana, IA y economía circular. En el panel de economía circular, UNIPAR participó junto a La Serenísima, Toyota Argentina, Loma Negra y Recycomb, compartiendo su experiencia en valorización de residuos y prácticas circulares en la industria</t>
  </si>
  <si>
    <t>https://futurosustentable.com.ar/el-summit-de-residuos-puso-en-agenda-los-desafios-de-la-gestion-urbana-y-la-economia-circular/</t>
  </si>
  <si>
    <t>El embajador de Italia en la UIBB: ”Estamos en la búsqueda de mercados para vender, pero también para comprar”</t>
  </si>
  <si>
    <t>El embajador de Italia, Fabrizio Nicoletti, se reunió con la Unión Industrial de Bahía Blanca para impulsar acuerdos comerciales, señalando que Italia busca importar materias primas y requiere estabilidad para invertir, mientras los empresarios locales destacaron el potencial industrial, energético y tecnológico de la región.</t>
  </si>
  <si>
    <t>https://www.lanueva.com/puntaalta/nota/2026-8-18-19-7-0-el-embajador-de-italia-en-la-uibb-estamos-en-la-busqueda-de-mercados-para-vender-pero-tambien-para-comprar</t>
  </si>
  <si>
    <t>BahIA SUMMIT: energía, industria y PyMEs, los ejes del encuentro sobre IA</t>
  </si>
  <si>
    <t>El encuentro abordará la aplicación concreta de la inteligencia artificial en la industria, el agro y las PyMEs, además de abordar la infraestructura y energía necesarias para su desarrollo.</t>
  </si>
  <si>
    <t>https://masindustrias.com.ar/bahia-summit-energia-industria-y-pymes-los-ejes-del-encuentro-sobre-ia/</t>
  </si>
  <si>
    <t>El mapa del poder: quiénes son los CEO de las grandes empresas y los nuevos ejecutivos que asumieron este año</t>
  </si>
  <si>
    <t>Relevamiento de los CEOs de las principales empresas de la Argentina, incluyendo nuevos ejecutivos y sus objetivos para 2026.</t>
  </si>
  <si>
    <t>https://www.cronista.com/apertura/empresas/el-mapa-del-poder-quienes-son-los-ceo-de-las-grandes-empresas-y-los-nuevos-ejecutivos-que-asumieron-este-ano/</t>
  </si>
  <si>
    <t>Susbielles recorrió una empresa del Polo y destacó el aporte de la industria al desarrollo de Bahía Blanca</t>
  </si>
  <si>
    <t>El intendente Federico Susbielles visitó la planta de Unipar, destacando el aporte de la industria a través de la generación de empleo, la inversión y el desarrollo productivo de Bahía Blanca.</t>
  </si>
  <si>
    <t>https://portalbahiense.com.ar/susbielles-recorrio-una-empresa-del-polo-y-destaco-el-aporte-de-la-industria-al-desarrollo-de-bahia-blanca/</t>
  </si>
  <si>
    <t>https://cafexmedio.com.ar/locales/susbielles-recorrio-una-empresa-del-polo-y-destaco-el-aporte-de-la-industria-al-desarrollo-de-bahia-blanca/</t>
  </si>
  <si>
    <t>Instituciones bahienses preparan una jornada sobre el futuro del perfil industrial de la ciudad</t>
  </si>
  <si>
    <t>Instituciones puerto, educativas, empresariales y públicas de Bahía Blanca se unieron para potenciar el perfil industrial local ante las inversiones de Vaca Muerta. Con este fin, organizan una jornada para el 5 de noviembre enfocada en innovación, servicios y la vinculación entre universidad e industria.</t>
  </si>
  <si>
    <t>https://masindustrias.com.ar/instituciones-bahienses-preparan-una-jornada-sobre-el-futuro-del-perfil-industrial-de-la-ciudad/</t>
  </si>
  <si>
    <t>Gestión responsable, sostenibilidad y participación: el sector define su agenda en el 9º Seminario Anual del PCRMA®</t>
  </si>
  <si>
    <t>La CIQyP organizará el 9no. Seminario del Programa de Cuidado Responsable del Medio Ambiente (PCRMA) el 16 de octubre en Buenos Aires, con el acompañamiento de Unipar y otras empresas.</t>
  </si>
  <si>
    <t>https://norteenlinea.com/gestion-responsable-sostenibilidad-y-participacion-el-sector-define-su-agenda-en-el-9o-seminario-anual-del-pcrma/</t>
  </si>
  <si>
    <t>La industria química y petroquímica realizará el 9° Seminario anual del PCRMA en octubre</t>
  </si>
  <si>
    <t>La Cámara de la Industria Química y Petroquímica (CIQyP) abrió la inscripción al 9° Seminario del PCRMA, que se realizará el 16 de octubre para tratar sobre economía circular, gobernanza y entregar los PCRMA Awards.</t>
  </si>
  <si>
    <t>https://mercado.com.ar/agenda/la-industria-quimica-y-petroquimica-realizara-el-9-seminario-anual-del-pcrma-en-octubre</t>
  </si>
  <si>
    <t>CEO Profile</t>
  </si>
  <si>
    <t>Perfil de Rodrigo Cannaval</t>
  </si>
  <si>
    <t>https://sentinel.globalnewsgroup.com/ver-noticia?EwyzpPBbRgQVRN89cpDN9g5cjnt2DJzQTnFwpve1TbQ</t>
  </si>
  <si>
    <t>De los primeros experimentos a un complejo estratégico</t>
  </si>
  <si>
    <t>Nota sobre la historia y evolución del Polo Petroquímico de Bahía Blanca, destacando su transformación en un complejo estratégico.</t>
  </si>
  <si>
    <t>https://sentinel.globalnewsgroup.com/ver-noticia?aF5XCbuS2SoZUv3FVb4rIJ7OHReBEXVZzILOGTil_hE</t>
  </si>
  <si>
    <t>El Polo Petroquímico como motor industrial estratégico más allá del crudo</t>
  </si>
  <si>
    <t>El desarrollo de Vaca Muerta volvió a posicionar al Polo Petroquímico de Bahía Blanca en el centro de la agenda productiva, destacando el rol de la química de base para agregar valor a la economía real. La nota resalta a firmas como Unipar como ejemplos de cómo transformar recursos primarios en producción, empleo e innovación, consolidando a la ciudad como una plataforma industrial estratégica para el país.</t>
  </si>
  <si>
    <t>https://sentinel.globalnewsgroup.com/ver-noticia?W2rnmQdCeeNh5uq0CHgIvqEprSP76mycxcMr2Oyk7Pk</t>
  </si>
  <si>
    <t>El embajador de Italia en Argentina visitó la sede de la Unión Industrial</t>
  </si>
  <si>
    <t>El embajador de Italia, Fabrizio Nicoletti, visitó la Unión Industrial de Bahía Blanca para impulsar la integración comercial y buscar materias primas para su industria exportadora, en una reunión que contó con la participación de empresas clave del sector como Unipar.</t>
  </si>
  <si>
    <t>https://sentinel.globalnewsgroup.com/ver-noticia?xR4wq39t9451tYaUssGJfgJcWyDz6W5ifc6P3638D8Y</t>
  </si>
  <si>
    <t>Inversión social privada: construir comunidad desde la escucha y la cercanía</t>
  </si>
  <si>
    <t>En esta nota, Laura Gutiérrez, responsable de Comunicación y Comunidad de Unipar, explica el concepto de Inversión Social Privada adoptado por la empresa. A través de esta estrategia, la firma busca generar valor compartido y transparencia mediante la escucha activa, el diálogo permanente y programas de participación comunitaria.</t>
  </si>
  <si>
    <t>https://sentinel.globalnewsgroup.com/ver-noticia?9aPmb-vnTpVhKLIHu3g51rDGIpHqIQAwVgtlqDZyVG0</t>
  </si>
  <si>
    <t>https://www.lanueva.com/puntaalta/nota/2026-8-23-4-15-27-el-polo-petroquimico-como-motor-industrial-estrategico-mas-alla-del-crudo</t>
  </si>
  <si>
    <t>https://www.lanueva.com/nota/2026-8-23-4-15-27-de-los-primeros-experimentos-a-un-complejo-estrategico</t>
  </si>
  <si>
    <t>El desarrollo de Vaca Muerta volvió a posicionar al Polo Petroquímico de Bahía Blanca en el centro de la agenda productiva, destacando el rol de la química de base para agregar valor a la economía real. La nota resalta a firmas como Unipar como ejemplos de cómo transformar recursos primarios en producción, empleo e innovación.</t>
  </si>
  <si>
    <t>https://poderlocal.com.ar/2026/08/23/el-polo-petroquimico-como-motor-industrial-estrategico-mas-alla-del-crudo/</t>
  </si>
  <si>
    <t>EditorEconómico</t>
  </si>
  <si>
    <t>El desarrollo de Vaca Muerta volvió a posicionar al Polo Petroquímico de Bahía Blanca en el centro de la agenda productiva, destacando el rol de la química de base para agregar valor a la economía real.</t>
  </si>
  <si>
    <t>https://sentinel.globalnewsgroup.com/ver-noticia?8wa8a47m0eGEeyXye-ItlubntmP2cu7htheqDD08QPA</t>
  </si>
  <si>
    <t>Petroquímica argentina: cae 30% la importación y crecen 38% las exportaciones</t>
  </si>
  <si>
    <t>Economis</t>
  </si>
  <si>
    <t>La industria petroquímica argentina redujo sus importaciones un 30% y aumentó 38% exportaciones, consolidándose como un pilar fundamental para el desarrollo productivo del país.</t>
  </si>
  <si>
    <t>https://economis.com.ar/petroquimica-argentina-cae-30-la-importacion-y-crecen-38-las-exportaciones/</t>
  </si>
  <si>
    <t>La industria petroquímica reduce importaciones y apunta a Vaca Muerta</t>
  </si>
  <si>
    <t>MDZ</t>
  </si>
  <si>
    <t>La industria petroquímica argentina redujo sus importaciones un 30% y aumentó 38% sus exportaciones de la mano de Vaca Muerta, según un informe del CREEBBA.</t>
  </si>
  <si>
    <t>https://www.mdzol.com/dinero/la-industria-petroquimica-reduce-importaciones-y-apunta-vaca-muerta-n1592079</t>
  </si>
  <si>
    <t>Martín Fasano, Guillermo Petracci</t>
  </si>
  <si>
    <t>Treinta familias de Saladero transforman sus hogares a través de mejoras sanitarias impulsadas por Hábitat para la Humanidad Argentina</t>
  </si>
  <si>
    <t>A través de un proyecto financiado por Unipar, treinta familias del barrio Saladero de Ingeniero White accedieron a materiales y capacitación para construir o mejorar sus baños.</t>
  </si>
  <si>
    <t>https://norteenlinea.com/treinta-familias-de-saladero-transforman-sus-hogares-a-traves-de-mejoras-sanitarias-impulsadas-por-habitat-para-la-humanidad-argentina/</t>
  </si>
  <si>
    <t>https://www.ingenierowhite.com/2026/08/24/treinta-familias-de-saladero-transforman-sus-hogares-a-traves-de-mejoras-sanitarias-impulsadas-por-habitat-para-la-humanidad-argentina/</t>
  </si>
  <si>
    <t>Unipar impulsa mejoras sanitarias en viviendas de 30 familias de Ingeniero White</t>
  </si>
  <si>
    <t>Argen Ports Web</t>
  </si>
  <si>
    <t>Unipar y Hábitat para la Humanidad Argentina impulsan una iniciativa en el barrio Saladero que incluye materiales y asistencia técnica para construir o mejorar baños.</t>
  </si>
  <si>
    <t>https://argenports.com/nota/unipar-impulsa-mejoras-sanitarias-en-viviendas-de-30-familias-de-ingeniero-white/</t>
  </si>
  <si>
    <t>https://bahiaproductiva.com/2026/08/25/treinta-familias-de-saladero-transforman-sus-hogares-a-traves-de-mejoras-sanitarias-impulsadas-por-habitat-para-la-humanidad-argentina/</t>
  </si>
  <si>
    <t>Descarbonización: un equipo de la UNSAM analizó las capacidades industriales y energéticas de Bahía Blanca</t>
  </si>
  <si>
    <t>De La Bahia</t>
  </si>
  <si>
    <t>Un equipo de investigación de la UNSAM visitó Bahía Blanca para analizar sus capacidades industriales y energéticas frente a los desafíos de la descarbonización, incluyendo visitas a plantas como la de Unipar.</t>
  </si>
  <si>
    <t>https://www.delabahia.com.ar/descarbonizacion-un-equipo-de-la-unsam-analizo-las-capacidades-industriales-y-energeticas-de-bahia-blanca/</t>
  </si>
  <si>
    <t>Hábitat para la Humanidad Argentina: treinta familias del Saladero tendrán mejoras sanitarias</t>
  </si>
  <si>
    <t>Hábitat para la Humanidad Argentina y Unipar impulsan una iniciativa de mejoramiento habitacional destinada a acompañar a familias en situación de vulnerabilidad del barrio Saladero, en Ingeniero White.</t>
  </si>
  <si>
    <t>https://frenteacano.com.ar/habitat-para-la-humanidad-argentina-treinta-familias-del-saladero-tendran-mejoras-sanitarias/</t>
  </si>
  <si>
    <t>Unipar y Hábitat para la Humanidad Argentina impulsan mejoras sanitarias en 30 viviendas del Saladero</t>
  </si>
  <si>
    <t>30 familias del Saladero en Ingeniero White mejoran las condiciones de sus viviendas mediante una iniciativa de Unipar y Hábitat para la Humanidad Argentina.</t>
  </si>
  <si>
    <t>https://www.labrujula24.com/notas/2026/08/25/habitat-para-la-humanidad-argentina-impulsa-mejoras-sanitarias-en-30-viviendas-del-saladero-n517281/</t>
  </si>
  <si>
    <t>La industria petroquímica muestra su recuperación: reduce importaciones un 30%</t>
  </si>
  <si>
    <t>Un informe del CREEBBA reflejó un crecimiento de la industria petroquímica, destacando su peso estratégico al transformar gas y petróleo en materias primas indispensables.</t>
  </si>
  <si>
    <t>https://www.lagaceta.com.ar/nota/1151128/economia/industria-petroquimica-muestra-recuperacion-reduce-importaciones-30porciento.html</t>
  </si>
  <si>
    <t>"Nuestra impronta es molestar al poder": Emiliano Randazzo sobre los 37 años de FM De la Calle</t>
  </si>
  <si>
    <t>FM La Tribu</t>
  </si>
  <si>
    <t>Entrevista a Emiliano Randazzo sobre los 37 años de FM De la Calle y su rol como medio comunitario y alternativo en Bahía Blanca.</t>
  </si>
  <si>
    <t>https://fmlatribu.com/noticias/nuestra-impronta-es-molestar-al-poder-emiliano-randazzo-sobre-los-37-anos-de-fm-de-la-calle/</t>
  </si>
  <si>
    <t>Familias de Ingeniero White transforman sus hogares con mejoras sanitarias de Hábitat para la Humanidad Argentina</t>
  </si>
  <si>
    <t>A través de un proyecto financiado por Unipar, familias del barrio Saladero de Ingeniero White accedieron a materiales y capacitación para construir o mejorar sus baños.</t>
  </si>
  <si>
    <t>https://poligono.com.ar/2026/08/25/familias-de-ingeniero-white-transforman-sus-hogares-con-mejoras-sanitarias-de-habitat-para-la-humanidad-argentina/</t>
  </si>
  <si>
    <t>Compañía Mega y Unipar celebran el aniversario de la UNS plantando futuro</t>
  </si>
  <si>
    <t>La Universidad Nacional del Sur plantará 70 árboles en su Campus con ejemplares aportados por Unipar y materiales de Compañía Mega para el sistema de riego, celebrando su 70° aniversario.</t>
  </si>
  <si>
    <t>https://bvcnoticias.com.ar/2026/08/compania-mega-y-unipar-celebran-el-aniversario-de-la-uns-plantando-futuro/</t>
  </si>
  <si>
    <t>70 árboles, 70 años...</t>
  </si>
  <si>
    <t>https://www.ingenierowhite.com/2026/08/26/70-arboles-70-anos/</t>
  </si>
  <si>
    <t>https://poligono.com.ar/2026/08/26/70-arboles-70-anos/</t>
  </si>
  <si>
    <t>La UNS plantará 70 árboles por sus 70 años y avanzará con un plan de forestación del Campus</t>
  </si>
  <si>
    <t>La Universidad Nacional del Sur plantará 70 árboles en su Campus con ejemplares aportados por Unipar y materiales de Compañía Mega para el sistema de riego.</t>
  </si>
  <si>
    <t>https://argenports.com/nota/la-uns-plantara-70-arboles-por-sus-70-anos-y-avanzara-con-un-plan-de-forestacion-del-campus/</t>
  </si>
  <si>
    <t>Guillermo Petracci, director de Unipar Argentina, plantea la necesidad de impulsar un nuevo contrato productivo entre el sector público y el privado para fortalecer el desarrollo industrial.</t>
  </si>
  <si>
    <t>https://econojournal.com.ar/opinion-mineria-energia/el-nuevo-contrato-productivo-para-competir-en-el-mundo/</t>
  </si>
  <si>
    <t>Unipar y Mega celebran los 70 años de la UNS con un festejo muy especial</t>
  </si>
  <si>
    <t>https://www.lanueva.com/nota/2026-8-26-19-24-0-unipar-y-mega-celebran-los-70-anos-de-la-uns-con-un-festejo-muy-especial</t>
  </si>
  <si>
    <t>Amanco Wavin dona materiales para la construcción de 29 viviendas en Derqui</t>
  </si>
  <si>
    <t>Amanco Wavin, junto a Unipar y la Asociación Argentina del PVC, contribuyó con materiales para las instalaciones sanitarias de 29 viviendas impulsadas por Fundación Vivienda Digna.</t>
  </si>
  <si>
    <t>https://norteenlinea.com/amanco-wavin-dona-materiales-para-la-construccion-de-29-viviendas-en-derqui/</t>
  </si>
  <si>
    <t>FM Suarense</t>
  </si>
  <si>
    <t>https://www.fmsuarense.com.ar/post/compania-mega-y-unipar-celebran-el-aniversario-de-la-uns-plantando-futuro</t>
  </si>
  <si>
    <t>Déficit habitacional: la falta de baños adecuados en Argentina y su impacto en la salud menstrual</t>
  </si>
  <si>
    <t>Hábitat para la Humanidad Argentina y Unipar impulsan una iniciativa en Ingeniero White que incluye materiales y asistencia técnica para construir o mejorar baños, promoviendo espacios sanitarios seguros.</t>
  </si>
  <si>
    <t>https://www.visionsustentable.com/2026/08/26/deficit-habitacional-banos-adecuados-argentina-salud-menstrual/</t>
  </si>
  <si>
    <t>Bahía Blanca, entre la ciencia, la industria y el futuro de la inteligencia artificial</t>
  </si>
  <si>
    <t>El Summit BahIA reunió a investigadores y empresas para debatir sobre la inteligencia artificial aplicada a la industria. Unipar presentó experiencias sobre la incorporación de IA a su planta.</t>
  </si>
  <si>
    <t>https://www.lanueva.com/puntaalta/nota/2026-8-27-5-0-17-bahia-blanca-entre-la-ciencia-la-industria-y-el-futuro-de-la-inteligencia-artificial</t>
  </si>
  <si>
    <t>Inteligencia artificial, reconocimiento, qué leer y más</t>
  </si>
  <si>
    <t>Resumen de noticias locales destacando el Summit BahIA, donde se debatió sobre inteligencia artificial y su aplicación en la industria, con la participación de empresas como Unipar.</t>
  </si>
  <si>
    <t>https://8000.ar/%f0%9f%91%a9%f0%9f%92%bb%f0%9f%91%8f-artificial-reconocimiento-leer-y-mas/</t>
  </si>
  <si>
    <t>Unipar y Compañía Mega plantarán 70 árboles en el Campus de la UNS</t>
  </si>
  <si>
    <t>https://frenteacano.com.ar/unipar-y-compania-mega-plantaran-70-arboles-en-el-campus-de-la-uns/</t>
  </si>
  <si>
    <t>Bahía Blanca impulsa la inteligencia artificial y proyecta un Nodo IA del Sur</t>
  </si>
  <si>
    <t>La 17</t>
  </si>
  <si>
    <t>La ciudad busca consolidarse como polo de desarrollo tecnológico. El Summit BahIA reunió a investigadores y empresas; Unipar presentó experiencias sobre la incorporación de IA a su planta.</t>
  </si>
  <si>
    <t>https://lu17.com/contenido/144489/bahia-blanca-impulsa-la-inteligencia-artificial-y-proyecta-un-nodo-ia-del-sur</t>
  </si>
  <si>
    <t>A24</t>
  </si>
  <si>
    <t>El Summit BahIA reunió a investigadores y empresas. Unipar presentó experiencias sobre la incorporación de Inteligencia Artificial a su planta.</t>
  </si>
  <si>
    <t>https://www.a24.com/actualidad/bahia-blanca-la-ciencia-la-industria-y-el-futuro-la-inteligencia-artificial-n1590427</t>
  </si>
  <si>
    <t>https://bahiaproductiva.com/2026/08/27/70-arboles-70-anos/</t>
  </si>
  <si>
    <t>Bahía Blanca se posiciona como referente en inteligencia artificial con el Summit BahIA</t>
  </si>
  <si>
    <t>Cadena 3</t>
  </si>
  <si>
    <t>Bahía Blanca busca consolidarse como un polo de inteligencia artificial a partir de la articulación entre su entramado científico, industrial y tecnológico, con la participación de empresas locales.</t>
  </si>
  <si>
    <t>https://www.cadena3.com/noticia/sociedad/bahia-blanca-se-posiciona-como-referente-en-inteligencia-artificial-con-el-summit-bahia_588022</t>
  </si>
  <si>
    <t>La ciudad avanza como polo de inteligencia artificial aplicada a la industria</t>
  </si>
  <si>
    <t>Ciudad Info</t>
  </si>
  <si>
    <t>Bahía Blanca busca consolidarse como referente en inteligencia artificial. El Summit BahIA reunió a la ciencia y la industria, donde empresas como Unipar compartieron sus experiencias con IA.</t>
  </si>
  <si>
    <t>https://ciudadinfo.com.ar/la-ciudad-avanza-como-polo-de-inteligencia-artificial-aplicada-a-la-industria-49769</t>
  </si>
  <si>
    <t>El Puerto de Bahía Blanca, eje del desarrollo de la IA en la región</t>
  </si>
  <si>
    <t>Dinamicarg</t>
  </si>
  <si>
    <t>El puerto ocupó un rol central en el desarrollo de nuevas oportunidades de Inteligencia Artificial en el Summit BahIA. Unipar presentó experiencias sobre la incorporación de IA a su planta.</t>
  </si>
  <si>
    <t>https://dinamicarg.com/puerto-bahia-blanca-eje-del-desarrollo-ia-region/</t>
  </si>
  <si>
    <t>La industria petroquímica acelera su recuperación: reduce importaciones un 30% y se consolida como pilar industrial del país</t>
  </si>
  <si>
    <t>Dossierweb</t>
  </si>
  <si>
    <t>Un informe del CREEBBA refleja que la industria petroquímica argentina redujo sus importaciones un 30% y aumentó sus exportaciones, consolidándose como un pilar fundamental para el desarrollo productivo.</t>
  </si>
  <si>
    <t>https://dossierweb.com.ar/la-industria-petroquimica-acelera-su-recuperacion-reduce-importaciones-un-30-y-se-consolida-como-pilar-industrial-del-pais/</t>
  </si>
  <si>
    <t>El Summit BahIA reunió a investigadores y empresas para debatir sobre inteligencia artificial aplicada a la industria. Unipar presentó experiencias sobre la incorporación de IA a su planta.</t>
  </si>
  <si>
    <t>https://www.cronista.com/protagonistas/bahia-blanca-entre-la-ciencia-la-industria-y-el-futuro-de-la-inteligencia-artificial/</t>
  </si>
  <si>
    <t>Bahía Blanca impulsa su polo de inteligencia artificial</t>
  </si>
  <si>
    <t>Diario El Norte</t>
  </si>
  <si>
    <t>Bahía Blanca dio un nuevo paso para consolidarse como polo de inteligencia artificial. En el Summit BahIA, empresas como Unipar mostraron avances en la incorporación de IA en sus procesos productivos.</t>
  </si>
  <si>
    <t>https://diarioelnorte.com.ar/bahia-blanca-impulsa-su-polo-de-inteligencia-artificial/</t>
  </si>
  <si>
    <t>Bahía Blanca busca posicionarse como el gran polo de inteligencia artificial del sur argentino</t>
  </si>
  <si>
    <t>Zonales</t>
  </si>
  <si>
    <t>La ciudad fue sede del Summit BahIA, un encuentro entre universidades, empresas y el Estado para pensar el futuro de la IA. Unipar mostró cómo incorporó IA en su planta.</t>
  </si>
  <si>
    <t>https://zonales.com/bahia-blanca-posicionarse-polo-inteligencia-artificial-del-sur-argentino/</t>
  </si>
  <si>
    <t>Bahía Blanca quiere convertirse en el gran polo de inteligencia artificial del sur argentino</t>
  </si>
  <si>
    <t>Letra P</t>
  </si>
  <si>
    <t>El Summit BahIA reunió a investigadores y empresas para impulsar aplicaciones de IA en la industria. Unipar destacó al mostrar el uso de IA dentro de su planta industrial.</t>
  </si>
  <si>
    <t>https://www.letrap.com.ar/politica/bahia-blanca-quiere-convertirse-el-gran-polo-inteligencia-artificial-del-sur-argentino-n5426137</t>
  </si>
  <si>
    <t>Amanco Wavin aportó materiales sanitarios para 29 viviendas en Derqui, Buenos Aires</t>
  </si>
  <si>
    <t>https://mercado.com.ar/gestion-sustentable/amanco-wavin-aporto-materiales-sanitarios-para-29-viviendas-en-derqui-buenos-aires</t>
  </si>
  <si>
    <t>Bahía Blanca busca consolidarse como polo de inteligencia artificial con ciencia e industria</t>
  </si>
  <si>
    <t>Noticias Argentinas</t>
  </si>
  <si>
    <t>El Summit BahIA reunió a investigadores, empresas y sector público para debatir la aplicación de la inteligencia artificial en la industria, el agro, el puerto y las PyMEs.</t>
  </si>
  <si>
    <t>https://noticiasargentinas.com/politica/bahia-blanca-busca-consolidarse-como-polo-de-inteligencia-artificial-con-ciencia-e-industria_a6a9051b72f1b4dc1bbf53a89</t>
  </si>
  <si>
    <t>Bahía Blanca busca posicionarse como polo de inteligencia artificial</t>
  </si>
  <si>
    <t>Bahía Blanca busca consolidarse como un polo de inteligencia artificial a partir de la articulación entre su entramado científico, industrial y tecnológico en el marco del Summit BahIA.</t>
  </si>
  <si>
    <t>https://www.noticiastornquist.com.ar/2026/08/27/bahia-blanca-busca-posicionarse-como-polo-de-inteligencia-artificial-1/</t>
  </si>
  <si>
    <t>Bahía Blanca, entre la ciencia, la industria y el futuro de la inteligencia artificial - A24</t>
  </si>
  <si>
    <t>https://sentinel.globalnewsgroup.com/ver-noticia?UTW4KxTEMLjtrPcZnUUhlfgGYQ6IX1voSc41kCY7h_4</t>
  </si>
  <si>
    <t>https://poderlocal.com.ar/2026/08/27/bahia-blanca-entre-la-ciencia-la-industria-y-el-futuro-de-la-inteligencia-artificial/</t>
  </si>
  <si>
    <t>https://poderlocal.com.ar/2026/08/27/el-puerto-de-bahia-blanca-eje-del-desarrollo-de-la-ia-en-la-region/</t>
  </si>
  <si>
    <t>https://www.pregon.com.ar/nota/-70954/2026/08/bahia-blanca-busca-consolidarse-como-polo-de-inteligencia-artificial-con-ciencia-e-industria</t>
  </si>
  <si>
    <t>Hábitat y Unipar impulsan mejoras habitacionales para 30 familias de Ingeniero White</t>
  </si>
  <si>
    <t>https://futurosustentable.com.ar/habitat-y-unipar-impulsan-mejoras-habitacionales-para-30-familias-de-ingeniero-white/</t>
  </si>
  <si>
    <t>Bahía Blanca firmó una declaración para consolidarse como polo de inteligencia artificial</t>
  </si>
  <si>
    <t>Info Bonaerenses</t>
  </si>
  <si>
    <t>Tras el Summit BahIA, se firmó un acuerdo para articular un ecosistema regional de inteligencia artificial. Unipar expuso cómo incorporó esta tecnología en su planta.</t>
  </si>
  <si>
    <t>https://infobonaerenses.com.ar/nota/44323/bahia-blanca-firmo-una-declaracion-para-consolidarse-como-polo-de-inteligencia-artificial/</t>
  </si>
  <si>
    <t>Gestión responsable, sostenibilidad y participación: el sector define su agenda en el 9º Seminario Anual del PCRMA</t>
  </si>
  <si>
    <t>La CIQyP organizará el 9no. Seminario del PCRMA el 16 de octubre en Buenos Aires, con el acompañamiento de empresas como Unipar para debatir sobre sustentabilidad e innovación.</t>
  </si>
  <si>
    <t>https://revistarojo.com.ar/gestion-responsable-sostenibilidad-y-participacion-el-sector-define-su-agenda-en-el-9o-seminario-anual-del-pcrma/</t>
  </si>
  <si>
    <t>Sustentabilidad: qué hacen más de 100 empresas y cuáles son sus próximos objetivos</t>
  </si>
  <si>
    <t>Relevamiento sobre las acciones y objetivos de sustentabilidad de más de 100 empresas en Argentina, destacando las iniciativas y compromisos ambientales del sector corporativo.</t>
  </si>
  <si>
    <t>https://www.cronista.com/apertura/empresas/sustentabilidad-que-hacen-mas-de-100-empresas-y-cuales-son-sus-proximos-objetivos/</t>
  </si>
  <si>
    <t>Jornada de plantación de árboles en el campus de la UNS</t>
  </si>
  <si>
    <t>https://0291.com.ar/jornada-de-plantacion-de-arboles-en-el-campus-de-la-uns/</t>
  </si>
  <si>
    <t>Tener un baño adecuado también es vivienda digna: una experiencia en Ingeniero White</t>
  </si>
  <si>
    <t>Intersección</t>
  </si>
  <si>
    <t>https://interseccion.ar/tener-un-bano-adecuado-tambien-es-vivienda-diga-la-experiencia-en-ingeniero-white/</t>
  </si>
  <si>
    <t>Transición Energética</t>
  </si>
  <si>
    <t>Entrevista a Laura Gutierrez en el marco del Día de la Industira Petroquímica</t>
  </si>
  <si>
    <t>https://www.youtube.com/live/rcqdYM27eDo</t>
  </si>
  <si>
    <t xml:space="preserve">El Mapa de la Sustentabilidad </t>
  </si>
  <si>
    <t>Publicación de la edición 2026 del Mapa de la Sustentabilidad, destacando el compromiso de Unipar con las prácticas ESG y la gestión ambiental responsable bajo la visión de Laura Gutiérrez.</t>
  </si>
  <si>
    <t>https://www.visionsustentable.com/wp-content/uploads/2026/08/El-mapa-de-la-sustentabilidad-2026-V-06-REVISION-FINAL-FINAL.pdf</t>
  </si>
  <si>
    <t>Mega acompañó a la UNS en la conmemoración de su 70° aniversario</t>
  </si>
  <si>
    <t>Cobertura de las celebraciones por el 70° aniversario de la Universidad Nacional del Sur, resaltando el acompañamiento del sector industrial y los lazos con la comunidad académica.</t>
  </si>
  <si>
    <t>https://sentinel.globalnewsgroup.com/ver-noticia?M4CNo6oxQ0ED62uaFnvsjw-P1eNczYLBevjHIe9-5Nw</t>
  </si>
  <si>
    <t>Difusión digital del acto por los 70 años de la UNS, haciendo foco en la articulación entre las instituciones educativas locales y el complejo productivo regional.</t>
  </si>
  <si>
    <t>https://www.lanueva.com/nota/2026-9-6-4-15-16-mega-acompano-a-la-uns-en-la-conmemoracion-de-su-70-aniversario</t>
  </si>
  <si>
    <t>La contaminación que no vemos: presentan informe sobre emisiones tóxicas en Bahía Blanca</t>
  </si>
  <si>
    <t>Presentación de un informe ambiental que señala emisiones fugitivas y compuestos volátiles en plantas del polo petroquímico de Bahía Blanca, mencionando a Unipar junto a otras firmas.</t>
  </si>
  <si>
    <t>https://delacalle.org/la-contaminacion-que-no-vemos-presentan-informe-sobre-emisiones-toxicas-en-bahia-blanca/</t>
  </si>
  <si>
    <t>Negativo</t>
  </si>
  <si>
    <t>UNIPAR se suma al impulso de Bahía Blanca como nodo estratégico de IA del Sur</t>
  </si>
  <si>
    <t>Participación de Unipar en el posicionamiento de Bahía Blanca como centro de inteligencia artificial del sur argentino, impulsando proyectos de digitalización industrial liderados por Ignacio Garriz.</t>
  </si>
  <si>
    <t>https://inversorlatam.com/unipar-se-suma-al-impulso-de-bahia-blanca-como-nodo-estrategico-de-ia-del-sur/</t>
  </si>
  <si>
    <t>Modernización</t>
  </si>
  <si>
    <t>La IA llega a la petroquímica: la industria que puede multiplicar hasta seis veces el valor del gas</t>
  </si>
  <si>
    <t>Análisis sobre la incorporación de inteligencia artificial en la petroquímica para optimizar procesos y agregar valor al gas natural, destacando la modernización del sector en el país.</t>
  </si>
  <si>
    <t>https://www.elobservador.com/argentina/negocios/la-ia-llega-la-petroquimica-la-industria-que-puede-multiplicar-seis-veces-el-valor-del-gas-n6056697</t>
  </si>
  <si>
    <t>Bahía Blanca creció como polo industrial y ahora encuentra microplásticos en su estuario</t>
  </si>
  <si>
    <t>Investigación científica sobre la presencia de microplásticos en el estuario bahiense, contextualizando la relevancia de la producción de polímeros y los desafíos ambientales en la región.</t>
  </si>
  <si>
    <t>https://economiasustentable.com/noticias/bahia-blanca-produce-plastico-a-gran-escala-y-ahora-encuentra-microplasticos-en-su-estuario/</t>
  </si>
  <si>
    <t>El legado verde del campus de la UNS: una historia más allá de los árboles</t>
  </si>
  <si>
    <t>Nota sobre la iniciativa de arbolado y sustentabilidad en el campus de la UNS, subrayando el valor del patrimonio forestal y el apoyo de Unipar a través de Guillermo Petracci.</t>
  </si>
  <si>
    <t>https://sentinel.globalnewsgroup.com/ver-noticia?ZgYkG___czoOY84SCy_IDOxckcqR0T2SIv67X5JA25o</t>
  </si>
  <si>
    <t>AI project triples Unipar’s return on investment in Argentina – BNamericas</t>
  </si>
  <si>
    <t>Replicación de la noticia sobre la implementación de inteligencia artificial en la planta de Unipar, logrando triplicar el retorno de inversión y optimizar la eficiencia operativa.</t>
  </si>
  <si>
    <t>https://nuevoenfoqueurbano.com.ar/ai-project-triples-unipars-return-on-investment-in-argentina-bnamericas/</t>
  </si>
  <si>
    <t>Reporte de BNamericas detallando cómo los proyectos de IA en la planta de VCM de Unipar en Argentina generaron ahorros anuales significativos y multiplicaron por tres el retorno de la inversión.</t>
  </si>
  <si>
    <t>https://www.bnamericas.com/es/noticias/proyecto-de-ia-genera-retorno-triple-para-unipar-en-argentina</t>
  </si>
  <si>
    <t>El legado verde del campus de la UNS: una historia que va más allá de los árboles</t>
  </si>
  <si>
    <t>Crónica sobre el desarrollo verde y la preservación ambiental en los predios de la UNS, destacando la articulación comunitaria impulsada por Unipar y las declaraciones de Guillermo Petracci.</t>
  </si>
  <si>
    <t>https://www.lanueva.com/nota/2026-9-14-5-0-51-el-legado-verde-del-campus-de-la-uns-una-historia-que-va-mas-alla-de-los-arboles</t>
  </si>
  <si>
    <t>Difusión local de las acciones de conservación y arbolado en el campus universitario bahiense, resaltando el compromiso de Unipar con el entorno local.</t>
  </si>
  <si>
    <t>https://bahiapolitica.com/el-legado-verde-del-campus-de-la-uns-una-historia-que-va-mas-alla-de-los-arboles/</t>
  </si>
  <si>
    <t>En innovación, el riesgo es llegar tarde</t>
  </si>
  <si>
    <t>Columna editorial y entrevista sobre transformación digital en la industria, donde Guillermo Petracci reflexiona sobre la urgencia estratégica de innovar e incorporar nuevas tecnologías.</t>
  </si>
  <si>
    <t>https://drive.google.com/file/d/1q1amixdWh3FL24lJR6XZmSJ155P6lbE7/view?usp=sharing</t>
  </si>
  <si>
    <t>La industria petroquímica argentina alerta por China y reclama bajar costos</t>
  </si>
  <si>
    <t>IProfesional</t>
  </si>
  <si>
    <t>Informe sectorial de la CIQyP alertando sobre la presión de la sobreoferta china y reclamando mayor competitividad, reducción de costos y aprovechamiento del gas de Vaca Muerta.</t>
  </si>
  <si>
    <t>https://www.iprofesional.com/negocios/464602-industria-petroquimica-argentina-alerta-por-china-y-reclama-bajar-costos</t>
  </si>
  <si>
    <t>Replicación regional del reclamo petroquímico ante la competencia internacional asiática, demandando condiciones fiscales y logísticas que protejan la industria nacional.</t>
  </si>
  <si>
    <t>https://cronicadelnoa.com.ar/2026/09/16/la-industria-petroquimica-argentina-alerta-por-china-y-reclama-bajar-costos/</t>
  </si>
  <si>
    <t>Bahía Blanca quiere ser el Modo IA del sur: del Summit a una agenda productiva hacia 2030</t>
  </si>
  <si>
    <t>Reportaje sobre la cumbre de inteligencia artificial en Bahía Blanca y la conformación de una agenda productiva 2030 que integra al sector petroquímico local en la digitalización.</t>
  </si>
  <si>
    <t>https://sentinel.globalnewsgroup.com/ver-noticia?6kJx5FcAlxnQ4zVW9rxTWwzWUAynowJ29oDHqARkSlo</t>
  </si>
  <si>
    <t>La IA aplicada al proceso y potenciando equipos de trabajo</t>
  </si>
  <si>
    <t>Artículo institucional de Unipar donde Ignacio Garriz expone la aplicación práctica de IA en los procesos de planta y el fortalecimiento de las capacidades de los equipos de trabajo.</t>
  </si>
  <si>
    <t>https://sentinel.globalnewsgroup.com/ver-noticia?bqnceBqijh2tNgAalALajrmX3bnoNU15LaH9k9sQWWQ</t>
  </si>
  <si>
    <t>Gestión responsable, sostenibilidad y participación: el sector define su agenda en el 9° Seminario Anual del PCRMA®</t>
  </si>
  <si>
    <t>Convocatoria y ejes temáticos del 9° Seminario Anual del Programa de Cuidado Responsable del Medio Ambiente, orientado a la sostenibilidad y gestión participativa en la industria química.</t>
  </si>
  <si>
    <t>https://sentinel.globalnewsgroup.com/ver-noticia?2zSW-Bgc4aWeZiMC5yoSa4FNa0Coe81TPCX3vbfxj1c</t>
  </si>
  <si>
    <t>Se conocieron los ganadores de la edición 2026 de los Eikon</t>
  </si>
  <si>
    <t>Anuncio de los galardonados en los Premios Eikon 2026 a la excelencia en comunicación institucional, certamen en el que se reconocen destacadas campañas del ámbito corporativo.</t>
  </si>
  <si>
    <t>https://revistaimagen.com/ganadores-edicion-2026-eikon/</t>
  </si>
  <si>
    <t>Industriales de Bahía Blanca renuevan autoridades y Gustavo Elías seguirá al frente de la UIBB</t>
  </si>
  <si>
    <t>Renovación de la Comisión Directiva de la Unión Industrial Bahía Blanca con Gustavo Elías como presidente y Guillermo Petracci de Unipar asumiendo la Vicepresidencia 2ª.</t>
  </si>
  <si>
    <t>https://dib.com.ar/sociedad/industriales-bahia-blanca-renuevan-autoridades-y-gustavo-elias-seguira-al-frente-la-uibb-n55902</t>
  </si>
  <si>
    <t>La UIBB renovó parte de su Comisión Directiva y Gustavo Elías continuará como presidente</t>
  </si>
  <si>
    <t>Cobertura local de la asamblea anual de la UIBB, destacando la integración de Guillermo Petracci en la mesa directiva para representar al sector petroquímico e industrial.</t>
  </si>
  <si>
    <t>https://www.ingenierowhite.com/2026/09/21/la-uibb-renovo-parte-de-su-comision-directiva-y-gustavo-elias-continuara-como-presidente/</t>
  </si>
  <si>
    <t>La UIBB renovó parcialmente sus autoridades y Gustavo Elías continuará al frente de la institución</t>
  </si>
  <si>
    <t>Publicación de los resultados de la asamblea de la UIBB, reafirmando el liderazgo de Gustavo Elías y el rol de Guillermo Petracci (Unipar) en la conducción institucional regional.</t>
  </si>
  <si>
    <t>https://www.lanueva.com/puntaalta/nota/2026-9-21-11-32-0-la-uibb-renovo-parcialmente-sus-autoridades-y-gustavo-elias-continuara-al-frente-de-la-institucion</t>
  </si>
  <si>
    <t>Nota de portal económico local sobre el nuevo esquema de autoridades de la UIBB, remarcando la continuidad de proyectos y la presencia de Unipar en la vicepresidencia.</t>
  </si>
  <si>
    <t>https://bahiaproductiva.com/2026/09/21/la-uibb-renovo-parte-de-su-comision-directiva-y-gustavo-elias-continuara-como-presidente/</t>
  </si>
  <si>
    <t>Guillermo Petracci, de Unipar: “La innovación forma parte de nuestra cultura de mejora continua”</t>
  </si>
  <si>
    <t>Entrevista exclusiva a Guillermo Petracci en la que detalla la cultura de innovación, mejora continua y transformación tecnológica implementada en las operaciones de Unipar.</t>
  </si>
  <si>
    <t>https://mercado.com.ar/innovacion/guillermo-petracci-de-unipar-la-innovacion-forma-parte-de-nuestra-cultura-de-mejora-continua</t>
  </si>
  <si>
    <t>Ingeniero White y Unipar: una historia compartida que mira al futuro</t>
  </si>
  <si>
    <t>Especial en el aniversario de Ingeniero White que repasa las cuatro décadas de historia compartida con Unipar, sus programas comunitarios y el desarrollo conjunto hacia el futuro.</t>
  </si>
  <si>
    <t>https://www.lanueva.com/nota/2026-9-27-4-15-16-ingeniero-white-y-unipar-una-historia-compartida-que-mira-al-futuro</t>
  </si>
  <si>
    <t>Ingeniero White y Unipar: una historia compartida que mira el futuro</t>
  </si>
  <si>
    <t>Cobertura editorial sobre el vínculo histórico entre la localidad portuaria y la planta de Unipar, resaltando el compromiso social y la proyección de inversiones sustentables.</t>
  </si>
  <si>
    <t>https://sentinel.globalnewsgroup.com/ver-noticia?lJkXTIVC1KysdFMoLm5ElNswqSG8kCtZTIbYrGzhNxY</t>
  </si>
  <si>
    <t>Quiénes lideran las 100 empresas top de energía en la Argentina</t>
  </si>
  <si>
    <t>Ranking de Forbes con las 100 compañías líderes del sector energético y petroquímico en Argentina, destacando el posicionamiento de Unipar bajo el liderazgo de Rodrigo Cannaval.</t>
  </si>
  <si>
    <t>https://www.forbesargentina.com/negocios/las-principales-empresas-industria-mas-pujante-argentina-n98186-n98186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</si>
</sst>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yyyy-mmm"/>
    <numFmt numFmtId="166" formatCode="dd/mm/yyyy"/>
    <numFmt numFmtId="167" formatCode="[$ARS]#,##0.00"/>
    <numFmt numFmtId="168" formatCode="$ #,##0.00"/>
  </numFmts>
  <fonts count="37">
    <font>
      <sz val="10.0"/>
      <color rgb="FF000000"/>
      <name val="Arial"/>
      <scheme val="minor"/>
    </font>
    <font>
      <color theme="1"/>
      <name val="Arial"/>
      <scheme val="minor"/>
    </font>
    <font>
      <color rgb="FFFFFFFF"/>
      <name val="Roboto"/>
    </font>
    <font>
      <color rgb="FFFFFFFF"/>
      <name val="&quot;Google Sans Text&quot;"/>
    </font>
    <font>
      <color theme="1"/>
      <name val="Arial"/>
    </font>
    <font>
      <color rgb="FF434343"/>
      <name val="Roboto"/>
    </font>
    <font>
      <u/>
      <color rgb="FF1155CC"/>
      <name val="Arial"/>
    </font>
    <font>
      <color theme="1"/>
      <name val="&quot;Google Sans Text&quot;"/>
    </font>
    <font>
      <u/>
      <color rgb="FF1155CC"/>
      <name val="Arial"/>
    </font>
    <font>
      <sz val="13.0"/>
      <color rgb="FF1F1F1F"/>
      <name val="&quot;Google Sans Flex&quot;"/>
    </font>
    <font>
      <u/>
      <color rgb="FF0000FF"/>
      <name val="Arial"/>
    </font>
    <font>
      <u/>
      <color rgb="FF434343"/>
      <name val="Roboto"/>
    </font>
    <font>
      <color rgb="FF1F1F1F"/>
      <name val="&quot;Google Sans Text&quot;"/>
    </font>
    <font>
      <u/>
      <color rgb="FF1155CC"/>
      <name val="Arial"/>
    </font>
    <font>
      <u/>
      <color rgb="FF1F1F1F"/>
      <name val="Arial"/>
    </font>
    <font>
      <u/>
      <color rgb="FF1155CC"/>
      <name val="Arial"/>
    </font>
    <font>
      <color rgb="FF1A485B"/>
      <name val="Roboto"/>
    </font>
    <font>
      <u/>
      <color rgb="FF1155CC"/>
      <name val="Arial"/>
    </font>
    <font>
      <color rgb="FFD4EDBC"/>
      <name val="Google Sans Text"/>
    </font>
    <font>
      <color rgb="FF1A485B"/>
      <name val="Google Sans Text"/>
    </font>
    <font>
      <color rgb="FF0A53A8"/>
      <name val="Google Sans Text"/>
    </font>
    <font>
      <color rgb="FF434343"/>
      <name val="Google Sans Text"/>
    </font>
    <font>
      <u/>
      <color rgb="FF1155CC"/>
      <name val="Arial"/>
    </font>
    <font>
      <u/>
      <color rgb="FF434343"/>
      <name val="Arial"/>
    </font>
    <font>
      <color rgb="FF2D5954"/>
      <name val="Google Sans Text"/>
    </font>
    <font>
      <color rgb="FF11734B"/>
      <name val="Google Sans Text"/>
    </font>
    <font>
      <color rgb="FF2D5954"/>
      <name val="Roboto"/>
    </font>
    <font>
      <color rgb="FF3A426F"/>
      <name val="Roboto"/>
    </font>
    <font>
      <color rgb="FF3A426F"/>
      <name val="Google Sans Text"/>
    </font>
    <font>
      <color rgb="FF5A3286"/>
      <name val="Google Sans Text"/>
    </font>
    <font>
      <color rgb="FF11734B"/>
      <name val="Roboto"/>
    </font>
    <font>
      <color rgb="FF0A53A8"/>
      <name val="Roboto"/>
    </font>
    <font>
      <color rgb="FFD4EDBC"/>
      <name val="Roboto"/>
    </font>
    <font>
      <color rgb="FF5A3286"/>
      <name val="Roboto"/>
    </font>
    <font>
      <color rgb="FF1F1F1F"/>
      <name val="Roboto"/>
    </font>
    <font>
      <u/>
      <color rgb="FF1155CC"/>
      <name val="Arial"/>
    </font>
    <font>
      <color rgb="FFFFCFC9"/>
      <name val="Google Sans Text"/>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s>
  <borders count="17">
    <border/>
    <border>
      <left style="thin">
        <color rgb="FF000000"/>
      </left>
      <right style="thin">
        <color rgb="FF000000"/>
      </right>
      <top style="thin">
        <color rgb="FF000000"/>
      </top>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6F8F9"/>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164" xfId="0" applyAlignment="1" applyBorder="1" applyFont="1" applyNumberFormat="1">
      <alignment horizontal="left"/>
    </xf>
    <xf borderId="1" fillId="0" fontId="1" numFmtId="0" xfId="0" applyAlignment="1" applyBorder="1" applyFont="1">
      <alignment horizontal="center"/>
    </xf>
    <xf borderId="1" fillId="0" fontId="1" numFmtId="165" xfId="0" applyAlignment="1" applyBorder="1" applyFont="1" applyNumberFormat="1">
      <alignment horizontal="left" readingOrder="0"/>
    </xf>
    <xf borderId="1" fillId="0" fontId="1" numFmtId="0" xfId="0" applyAlignment="1" applyBorder="1" applyFont="1">
      <alignment horizontal="center" readingOrder="0"/>
    </xf>
    <xf borderId="1" fillId="3" fontId="1" numFmtId="0" xfId="0" applyAlignment="1" applyBorder="1" applyFill="1" applyFont="1">
      <alignment readingOrder="0"/>
    </xf>
    <xf borderId="1" fillId="3" fontId="1" numFmtId="0" xfId="0" applyAlignment="1" applyBorder="1" applyFill="1" applyFont="1">
      <alignment horizontal="center"/>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2" fillId="4" fontId="2" numFmtId="0" xfId="0" applyAlignment="1" applyBorder="1" applyFill="1" applyFont="1">
      <alignment horizontal="left" readingOrder="0" shrinkToFit="0" vertical="center" wrapText="0"/>
    </xf>
    <xf borderId="0" fillId="0" fontId="1" numFmtId="0" xfId="0" applyAlignment="1" applyFont="1">
      <alignment horizontal="center" readingOrder="0" shrinkToFit="0" vertical="center" wrapText="0"/>
    </xf>
    <xf borderId="3" fillId="4" fontId="2" numFmtId="0" xfId="0" applyAlignment="1" applyBorder="1" applyFill="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4" fillId="4" fontId="2" numFmtId="0" xfId="0" applyAlignment="1" applyBorder="1" applyFill="1" applyFont="1">
      <alignment horizontal="left" readingOrder="0" shrinkToFit="0" vertical="center" wrapText="0"/>
    </xf>
    <xf borderId="0" fillId="0" fontId="4" numFmtId="0" xfId="0" applyAlignment="1" applyFont="1">
      <alignment vertical="bottom"/>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5" fillId="5" fontId="5" numFmtId="0" xfId="0" applyAlignment="1" applyBorder="1" applyFill="1" applyFont="1">
      <alignment shrinkToFit="0" vertical="center" wrapText="0"/>
    </xf>
    <xf borderId="6" fillId="5" fontId="5" numFmtId="0" xfId="0" applyAlignment="1" applyBorder="1" applyFill="1" applyFont="1">
      <alignment shrinkToFit="0" vertical="center" wrapText="0"/>
    </xf>
    <xf borderId="6" fillId="5" fontId="5" numFmtId="0" xfId="0" applyAlignment="1" applyBorder="1" applyFill="1" applyFont="1">
      <alignment horizontal="right" shrinkToFit="0" vertical="center" wrapText="0"/>
    </xf>
    <xf borderId="6" fillId="5" fontId="5" numFmtId="167" xfId="0" applyAlignment="1" applyBorder="1" applyFill="1" applyFont="1" applyNumberFormat="1">
      <alignment horizontal="right" shrinkToFit="0" vertical="center" wrapText="0"/>
    </xf>
    <xf borderId="7" fillId="5" fontId="5" numFmtId="0" xfId="0" applyAlignment="1" applyBorder="1" applyFill="1" applyFont="1">
      <alignment shrinkToFit="0" vertical="center" wrapText="0"/>
    </xf>
    <xf borderId="0" fillId="0" fontId="6" numFmtId="0" xfId="0" applyAlignment="1" applyFont="1">
      <alignment shrinkToFit="0" vertical="bottom" wrapText="0"/>
    </xf>
    <xf borderId="8" fillId="6" fontId="5" numFmtId="0" xfId="0" applyAlignment="1" applyBorder="1" applyFill="1" applyFont="1">
      <alignment shrinkToFit="0" vertical="center" wrapText="0"/>
    </xf>
    <xf borderId="9" fillId="6" fontId="5" numFmtId="0" xfId="0" applyAlignment="1" applyBorder="1" applyFill="1" applyFont="1">
      <alignment shrinkToFit="0" vertical="center" wrapText="0"/>
    </xf>
    <xf borderId="0" fillId="0" fontId="1" numFmtId="0" xfId="0" applyAlignment="1" applyFont="1">
      <alignment shrinkToFit="0" vertical="center" wrapText="0"/>
    </xf>
    <xf borderId="9" fillId="6" fontId="5" numFmtId="0" xfId="0" applyAlignment="1" applyBorder="1" applyFill="1" applyFont="1">
      <alignment horizontal="right" shrinkToFit="0" vertical="center" wrapText="0"/>
    </xf>
    <xf borderId="9" fillId="6" fontId="5" numFmtId="167" xfId="0" applyAlignment="1" applyBorder="1" applyFill="1" applyFont="1" applyNumberFormat="1">
      <alignment horizontal="right" shrinkToFit="0" vertical="center" wrapText="0"/>
    </xf>
    <xf borderId="10" fillId="6" fontId="5" numFmtId="0" xfId="0" applyAlignment="1" applyBorder="1" applyFill="1" applyFont="1">
      <alignment shrinkToFit="0" vertical="center" wrapText="0"/>
    </xf>
    <xf borderId="0" fillId="0" fontId="1" numFmtId="0" xfId="0" applyAlignment="1" applyFont="1">
      <alignment horizontal="center" shrinkToFit="0" vertical="center" wrapText="0"/>
    </xf>
    <xf borderId="0" fillId="0" fontId="1" numFmtId="168" xfId="0" applyAlignment="1" applyFont="1" applyNumberFormat="1">
      <alignment shrinkToFit="0" vertical="center" wrapText="0"/>
    </xf>
    <xf borderId="0" fillId="0" fontId="7" numFmtId="0" xfId="0" applyAlignment="1" applyFont="1">
      <alignment readingOrder="0" shrinkToFit="0" vertical="center" wrapText="0"/>
    </xf>
    <xf borderId="9" fillId="6" fontId="5" numFmtId="0" xfId="0" applyAlignment="1" applyBorder="1" applyFill="1" applyFont="1">
      <alignment horizontal="center" shrinkToFit="0" vertical="center" wrapText="0"/>
    </xf>
    <xf borderId="0" fillId="0" fontId="7" numFmtId="0" xfId="0" applyAlignment="1" applyFont="1">
      <alignment readingOrder="0" shrinkToFit="0" vertical="center" wrapText="0"/>
    </xf>
    <xf borderId="0" fillId="0" fontId="7" numFmtId="9" xfId="0" applyAlignment="1" applyFont="1" applyNumberFormat="1">
      <alignment readingOrder="0" shrinkToFit="0" vertical="center" wrapText="0"/>
    </xf>
    <xf borderId="8" fillId="5" fontId="5" numFmtId="0" xfId="0" applyAlignment="1" applyBorder="1" applyFill="1" applyFont="1">
      <alignment shrinkToFit="0" vertical="center" wrapText="0"/>
    </xf>
    <xf borderId="0" fillId="0" fontId="8" numFmtId="0" xfId="0" applyAlignment="1" applyFont="1">
      <alignment shrinkToFit="0" vertical="bottom" wrapText="0"/>
    </xf>
    <xf borderId="5" fillId="6" fontId="5" numFmtId="0" xfId="0" applyAlignment="1" applyBorder="1" applyFill="1" applyFont="1">
      <alignment shrinkToFit="0" vertical="center" wrapText="0"/>
    </xf>
    <xf borderId="10" fillId="6" fontId="4" numFmtId="0" xfId="0" applyAlignment="1" applyBorder="1" applyFill="1" applyFont="1">
      <alignment shrinkToFit="0" vertical="center" wrapText="0"/>
    </xf>
    <xf borderId="8" fillId="5" fontId="5" numFmtId="0" xfId="0" applyAlignment="1" applyBorder="1" applyFill="1" applyFont="1">
      <alignment shrinkToFit="0" vertical="center" wrapText="0"/>
    </xf>
    <xf borderId="7" fillId="5" fontId="4" numFmtId="0" xfId="0" applyAlignment="1" applyBorder="1" applyFill="1" applyFont="1">
      <alignment shrinkToFit="0" vertical="center" wrapText="0"/>
    </xf>
    <xf borderId="0" fillId="5" fontId="9" numFmtId="0" xfId="0" applyAlignment="1" applyFill="1" applyFont="1">
      <alignment readingOrder="0"/>
    </xf>
    <xf borderId="0" fillId="5" fontId="9" numFmtId="0" xfId="0" applyFill="1" applyFont="1"/>
    <xf borderId="0" fillId="0" fontId="1" numFmtId="0" xfId="0" applyAlignment="1" applyFont="1">
      <alignment readingOrder="0" shrinkToFit="0" vertical="center" wrapText="0"/>
    </xf>
    <xf borderId="9" fillId="6" fontId="5" numFmtId="0" xfId="0" applyAlignment="1" applyBorder="1" applyFill="1" applyFont="1">
      <alignment horizontal="center"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10" numFmtId="0" xfId="0" applyAlignment="1" applyFont="1">
      <alignment readingOrder="0" shrinkToFit="0" vertical="bottom" wrapText="0"/>
    </xf>
    <xf borderId="8" fillId="6" fontId="5" numFmtId="0" xfId="0" applyAlignment="1" applyBorder="1" applyFill="1" applyFont="1">
      <alignment shrinkToFit="0" vertical="center" wrapText="1"/>
    </xf>
    <xf borderId="10" fillId="6" fontId="4" numFmtId="0" xfId="0" applyAlignment="1" applyBorder="1" applyFill="1" applyFont="1">
      <alignment shrinkToFit="0" vertical="center" wrapText="0"/>
    </xf>
    <xf borderId="0" fillId="0" fontId="1" numFmtId="168" xfId="0" applyAlignment="1" applyFont="1" applyNumberFormat="1">
      <alignment readingOrder="0" shrinkToFit="0" vertical="center" wrapText="0"/>
    </xf>
    <xf borderId="6" fillId="5" fontId="5" numFmtId="0" xfId="0" applyAlignment="1" applyBorder="1" applyFill="1" applyFont="1">
      <alignment horizontal="center" shrinkToFit="0" vertical="center" wrapText="0"/>
    </xf>
    <xf borderId="5" fillId="5" fontId="11" numFmtId="0" xfId="0" applyAlignment="1" applyBorder="1" applyFill="1" applyFont="1">
      <alignment shrinkToFit="0" vertical="center" wrapText="0"/>
    </xf>
    <xf borderId="5" fillId="5" fontId="5" numFmtId="0" xfId="0" applyAlignment="1" applyBorder="1" applyFill="1" applyFont="1">
      <alignment shrinkToFit="0" vertical="center" wrapText="1"/>
    </xf>
    <xf borderId="9" fillId="6" fontId="5" numFmtId="0" xfId="0" applyAlignment="1" applyBorder="1" applyFill="1" applyFont="1">
      <alignment shrinkToFit="0" wrapText="1"/>
    </xf>
    <xf borderId="9" fillId="6" fontId="5" numFmtId="0" xfId="0" applyAlignment="1" applyBorder="1" applyFill="1" applyFont="1">
      <alignment shrinkToFit="0" wrapText="0"/>
    </xf>
    <xf borderId="9" fillId="6" fontId="5" numFmtId="0" xfId="0" applyAlignment="1" applyBorder="1" applyFill="1" applyFont="1">
      <alignment horizontal="right" shrinkToFit="0" wrapText="0"/>
    </xf>
    <xf borderId="9" fillId="6" fontId="5" numFmtId="167" xfId="0" applyAlignment="1" applyBorder="1" applyFill="1" applyFont="1" applyNumberFormat="1">
      <alignment horizontal="right" shrinkToFit="0" wrapText="0"/>
    </xf>
    <xf borderId="10" fillId="6" fontId="4" numFmtId="0" xfId="0" applyBorder="1" applyFill="1" applyFont="1"/>
    <xf borderId="6" fillId="5" fontId="5" numFmtId="0" xfId="0" applyAlignment="1" applyBorder="1" applyFill="1" applyFont="1">
      <alignment shrinkToFit="0" wrapText="1"/>
    </xf>
    <xf borderId="6" fillId="5" fontId="5" numFmtId="0" xfId="0" applyAlignment="1" applyBorder="1" applyFill="1" applyFont="1">
      <alignment shrinkToFit="0" wrapText="0"/>
    </xf>
    <xf borderId="6" fillId="5" fontId="5" numFmtId="0" xfId="0" applyAlignment="1" applyBorder="1" applyFill="1" applyFont="1">
      <alignment horizontal="right" shrinkToFit="0" wrapText="0"/>
    </xf>
    <xf borderId="6" fillId="5" fontId="5" numFmtId="167" xfId="0" applyAlignment="1" applyBorder="1" applyFill="1" applyFont="1" applyNumberFormat="1">
      <alignment horizontal="right" shrinkToFit="0" wrapText="0"/>
    </xf>
    <xf borderId="7" fillId="5" fontId="4" numFmtId="0" xfId="0" applyBorder="1" applyFill="1" applyFont="1"/>
    <xf borderId="11" fillId="6" fontId="5" numFmtId="0" xfId="0" applyAlignment="1" applyBorder="1" applyFill="1" applyFont="1">
      <alignment shrinkToFit="0" wrapText="0"/>
    </xf>
    <xf borderId="11" fillId="6" fontId="5" numFmtId="0" xfId="0" applyAlignment="1" applyBorder="1" applyFill="1" applyFont="1">
      <alignment horizontal="right" shrinkToFit="0" wrapText="0"/>
    </xf>
    <xf borderId="11" fillId="6" fontId="5" numFmtId="167" xfId="0" applyAlignment="1" applyBorder="1" applyFill="1" applyFont="1" applyNumberFormat="1">
      <alignment horizontal="right" shrinkToFit="0" wrapText="0"/>
    </xf>
    <xf borderId="12" fillId="6" fontId="4" numFmtId="0" xfId="0" applyBorder="1" applyFill="1" applyFont="1"/>
    <xf borderId="0" fillId="0" fontId="4" numFmtId="0" xfId="0" applyAlignment="1" applyFont="1">
      <alignment readingOrder="0" vertical="bottom"/>
    </xf>
    <xf borderId="6" fillId="5" fontId="5" numFmtId="0" xfId="0" applyAlignment="1" applyBorder="1" applyFill="1" applyFont="1">
      <alignment shrinkToFit="0" wrapText="1"/>
    </xf>
    <xf borderId="0" fillId="6" fontId="5" numFmtId="0" xfId="0" applyAlignment="1" applyFill="1" applyFont="1">
      <alignment shrinkToFit="0" vertical="bottom" wrapText="1"/>
    </xf>
    <xf borderId="0" fillId="6" fontId="5" numFmtId="0" xfId="0" applyAlignment="1" applyFill="1" applyFont="1">
      <alignment horizontal="right" shrinkToFit="0" vertical="bottom" wrapText="1"/>
    </xf>
    <xf borderId="0" fillId="6" fontId="4" numFmtId="0" xfId="0" applyAlignment="1" applyFill="1" applyFont="1">
      <alignment vertical="bottom"/>
    </xf>
    <xf borderId="13" fillId="6" fontId="5" numFmtId="0" xfId="0" applyAlignment="1" applyBorder="1" applyFill="1" applyFont="1">
      <alignment shrinkToFit="0" wrapText="1"/>
    </xf>
    <xf borderId="8" fillId="6" fontId="5" numFmtId="0" xfId="0" applyAlignment="1" applyBorder="1" applyFill="1" applyFont="1">
      <alignment shrinkToFit="0" wrapText="0"/>
    </xf>
    <xf borderId="0" fillId="0" fontId="12" numFmtId="0" xfId="0" applyAlignment="1" applyFont="1">
      <alignment readingOrder="0" shrinkToFit="0" vertical="center" wrapText="0"/>
    </xf>
    <xf borderId="0" fillId="0" fontId="12" numFmtId="0" xfId="0" applyAlignment="1" applyFont="1">
      <alignment readingOrder="0" shrinkToFit="0" vertical="center" wrapText="0"/>
    </xf>
    <xf borderId="0" fillId="0" fontId="12" numFmtId="9" xfId="0" applyAlignment="1" applyFont="1" applyNumberFormat="1">
      <alignment readingOrder="0" shrinkToFit="0" vertical="center" wrapText="0"/>
    </xf>
    <xf borderId="0" fillId="0" fontId="1" numFmtId="0" xfId="0" applyAlignment="1" applyFont="1">
      <alignment horizontal="center" shrinkToFit="0" vertical="center" wrapText="0"/>
    </xf>
    <xf borderId="0" fillId="0" fontId="13" numFmtId="0" xfId="0" applyAlignment="1" applyFont="1">
      <alignment readingOrder="0" shrinkToFit="0" vertical="bottom" wrapText="0"/>
    </xf>
    <xf borderId="0" fillId="7" fontId="1" numFmtId="0" xfId="0" applyAlignment="1" applyFill="1" applyFont="1">
      <alignment readingOrder="0" shrinkToFit="0" vertical="center" wrapText="1"/>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168" xfId="0" applyAlignment="1" applyFont="1" applyNumberFormat="1">
      <alignment readingOrder="0" shrinkToFit="0" vertical="center" wrapText="0"/>
    </xf>
    <xf borderId="0" fillId="0" fontId="1" numFmtId="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168" xfId="0" applyAlignment="1" applyFont="1" applyNumberFormat="1">
      <alignment shrinkToFit="0" vertical="center" wrapText="0"/>
    </xf>
    <xf borderId="0" fillId="0" fontId="1" numFmtId="0" xfId="0" applyAlignment="1" applyFont="1">
      <alignment horizontal="center" readingOrder="0" shrinkToFit="0" vertical="center" wrapText="0"/>
    </xf>
    <xf borderId="0" fillId="0" fontId="14" numFmtId="0" xfId="0" applyAlignment="1" applyFont="1">
      <alignment shrinkToFit="0" vertical="bottom" wrapText="0"/>
    </xf>
    <xf borderId="0" fillId="0" fontId="15" numFmtId="0" xfId="0" applyAlignment="1" applyFont="1">
      <alignment readingOrder="0" shrinkToFit="0" vertical="bottom" wrapText="0"/>
    </xf>
    <xf borderId="0" fillId="0" fontId="7" numFmtId="0" xfId="0" applyAlignment="1" applyFont="1">
      <alignment readingOrder="0" shrinkToFit="0" vertical="center" wrapText="0"/>
    </xf>
    <xf borderId="5" fillId="5" fontId="5" numFmtId="166" xfId="0" applyAlignment="1" applyBorder="1" applyFill="1" applyFont="1" applyNumberFormat="1">
      <alignment horizontal="right" shrinkToFit="0" vertical="center" wrapText="0"/>
    </xf>
    <xf borderId="6" fillId="5" fontId="5" numFmtId="0" xfId="0" applyAlignment="1" applyBorder="1" applyFill="1" applyFont="1">
      <alignment shrinkToFit="0" vertical="center" wrapText="1"/>
    </xf>
    <xf borderId="6" fillId="5" fontId="16" numFmtId="0" xfId="0" applyAlignment="1" applyBorder="1" applyFill="1" applyFont="1">
      <alignment shrinkToFit="0" vertical="center" wrapText="0"/>
    </xf>
    <xf borderId="6" fillId="5" fontId="17" numFmtId="0" xfId="0" applyAlignment="1" applyBorder="1" applyFill="1" applyFont="1">
      <alignment shrinkToFit="0" vertical="bottom" wrapText="0"/>
    </xf>
    <xf borderId="6" fillId="5" fontId="5" numFmtId="0" xfId="0" applyAlignment="1" applyBorder="1" applyFill="1" applyFont="1">
      <alignment readingOrder="0" shrinkToFit="0" vertical="center" wrapText="0"/>
    </xf>
    <xf borderId="6" fillId="5" fontId="5" numFmtId="168" xfId="0" applyAlignment="1" applyBorder="1" applyFill="1" applyFont="1" applyNumberFormat="1">
      <alignment horizontal="right" shrinkToFit="0" vertical="center" wrapText="0"/>
    </xf>
    <xf borderId="6" fillId="5" fontId="18" numFmtId="0" xfId="0" applyAlignment="1" applyBorder="1" applyFill="1" applyFont="1">
      <alignment shrinkToFit="0" vertical="center" wrapText="0"/>
    </xf>
    <xf borderId="9" fillId="5" fontId="4" numFmtId="0" xfId="0" applyAlignment="1" applyBorder="1" applyFill="1" applyFont="1">
      <alignment horizontal="center" shrinkToFit="0" vertical="center" wrapText="0"/>
    </xf>
    <xf borderId="6" fillId="5" fontId="19" numFmtId="0" xfId="0" applyAlignment="1" applyBorder="1" applyFill="1" applyFont="1">
      <alignment shrinkToFit="0" vertical="center" wrapText="0"/>
    </xf>
    <xf borderId="6" fillId="5" fontId="20" numFmtId="0" xfId="0" applyAlignment="1" applyBorder="1" applyFill="1" applyFont="1">
      <alignment shrinkToFit="0" vertical="center" wrapText="0"/>
    </xf>
    <xf borderId="6" fillId="5" fontId="21" numFmtId="0" xfId="0" applyAlignment="1" applyBorder="1" applyFill="1" applyFont="1">
      <alignment shrinkToFit="0" vertical="center" wrapText="0"/>
    </xf>
    <xf borderId="7" fillId="5" fontId="4" numFmtId="9" xfId="0" applyAlignment="1" applyBorder="1" applyFill="1" applyFont="1" applyNumberFormat="1">
      <alignment shrinkToFit="0" vertical="center" wrapText="0"/>
    </xf>
    <xf borderId="8" fillId="6" fontId="5" numFmtId="166" xfId="0" applyAlignment="1" applyBorder="1" applyFill="1" applyFont="1" applyNumberFormat="1">
      <alignment horizontal="right" shrinkToFit="0" vertical="center" wrapText="0"/>
    </xf>
    <xf borderId="9" fillId="6" fontId="5" numFmtId="0" xfId="0" applyAlignment="1" applyBorder="1" applyFill="1" applyFont="1">
      <alignment shrinkToFit="0" vertical="center" wrapText="1"/>
    </xf>
    <xf borderId="9" fillId="6" fontId="16" numFmtId="0" xfId="0" applyAlignment="1" applyBorder="1" applyFill="1" applyFont="1">
      <alignment shrinkToFit="0" vertical="center" wrapText="0"/>
    </xf>
    <xf borderId="9" fillId="6" fontId="22" numFmtId="0" xfId="0" applyAlignment="1" applyBorder="1" applyFill="1" applyFont="1">
      <alignment shrinkToFit="0" vertical="bottom" wrapText="0"/>
    </xf>
    <xf borderId="9" fillId="6" fontId="5" numFmtId="0" xfId="0" applyAlignment="1" applyBorder="1" applyFill="1" applyFont="1">
      <alignment readingOrder="0" shrinkToFit="0" vertical="center" wrapText="0"/>
    </xf>
    <xf borderId="9" fillId="6" fontId="5" numFmtId="168" xfId="0" applyAlignment="1" applyBorder="1" applyFill="1" applyFont="1" applyNumberFormat="1">
      <alignment horizontal="right" shrinkToFit="0" vertical="center" wrapText="0"/>
    </xf>
    <xf borderId="9" fillId="6" fontId="18" numFmtId="0" xfId="0" applyAlignment="1" applyBorder="1" applyFill="1" applyFont="1">
      <alignment shrinkToFit="0" vertical="center" wrapText="0"/>
    </xf>
    <xf borderId="9" fillId="6" fontId="4" numFmtId="0" xfId="0" applyAlignment="1" applyBorder="1" applyFill="1" applyFont="1">
      <alignment horizontal="center" shrinkToFit="0" vertical="center" wrapText="0"/>
    </xf>
    <xf borderId="9" fillId="6" fontId="19" numFmtId="0" xfId="0" applyAlignment="1" applyBorder="1" applyFill="1" applyFont="1">
      <alignment shrinkToFit="0" vertical="center" wrapText="0"/>
    </xf>
    <xf borderId="9" fillId="6" fontId="20" numFmtId="0" xfId="0" applyAlignment="1" applyBorder="1" applyFill="1" applyFont="1">
      <alignment shrinkToFit="0" vertical="center" wrapText="0"/>
    </xf>
    <xf borderId="9" fillId="6" fontId="21" numFmtId="0" xfId="0" applyAlignment="1" applyBorder="1" applyFill="1" applyFont="1">
      <alignment shrinkToFit="0" vertical="center" wrapText="0"/>
    </xf>
    <xf borderId="10" fillId="6" fontId="4" numFmtId="9" xfId="0" applyAlignment="1" applyBorder="1" applyFill="1" applyFont="1" applyNumberFormat="1">
      <alignment shrinkToFit="0" vertical="center" wrapText="0"/>
    </xf>
    <xf borderId="6" fillId="5" fontId="5" numFmtId="0" xfId="0" applyAlignment="1" applyBorder="1" applyFill="1" applyFont="1">
      <alignment horizontal="center" readingOrder="0" shrinkToFit="0" vertical="center" wrapText="0"/>
    </xf>
    <xf borderId="9" fillId="6" fontId="4" numFmtId="0" xfId="0" applyAlignment="1" applyBorder="1" applyFill="1" applyFont="1">
      <alignment shrinkToFit="0" vertical="center" wrapText="0"/>
    </xf>
    <xf borderId="9" fillId="6" fontId="23" numFmtId="0" xfId="0" applyAlignment="1" applyBorder="1" applyFill="1" applyFont="1">
      <alignment shrinkToFit="0" vertical="bottom" wrapText="0"/>
    </xf>
    <xf borderId="9" fillId="6" fontId="24" numFmtId="0" xfId="0" applyAlignment="1" applyBorder="1" applyFill="1" applyFont="1">
      <alignment shrinkToFit="0" vertical="center" wrapText="0"/>
    </xf>
    <xf borderId="9" fillId="6" fontId="25" numFmtId="0" xfId="0" applyAlignment="1" applyBorder="1" applyFill="1" applyFont="1">
      <alignment shrinkToFit="0" vertical="center" wrapText="0"/>
    </xf>
    <xf borderId="6" fillId="5" fontId="26" numFmtId="0" xfId="0" applyAlignment="1" applyBorder="1" applyFill="1" applyFont="1">
      <alignment shrinkToFit="0" vertical="center" wrapText="0"/>
    </xf>
    <xf borderId="6" fillId="5" fontId="27" numFmtId="0" xfId="0" applyAlignment="1" applyBorder="1" applyFill="1" applyFont="1">
      <alignment shrinkToFit="0" vertical="center" wrapText="0"/>
    </xf>
    <xf borderId="9" fillId="5" fontId="5" numFmtId="0" xfId="0" applyAlignment="1" applyBorder="1" applyFill="1" applyFont="1">
      <alignment horizontal="center" shrinkToFit="0" vertical="center" wrapText="0"/>
    </xf>
    <xf borderId="9" fillId="6" fontId="26" numFmtId="0" xfId="0" applyAlignment="1" applyBorder="1" applyFill="1" applyFont="1">
      <alignment shrinkToFit="0" vertical="center" wrapText="0"/>
    </xf>
    <xf borderId="9" fillId="6" fontId="5" numFmtId="0" xfId="0" applyAlignment="1" applyBorder="1" applyFill="1" applyFont="1">
      <alignment horizontal="center" shrinkToFit="0" vertical="center" wrapText="0"/>
    </xf>
    <xf borderId="6" fillId="5" fontId="28" numFmtId="0" xfId="0" applyAlignment="1" applyBorder="1" applyFill="1" applyFont="1">
      <alignment shrinkToFit="0" vertical="center" wrapText="0"/>
    </xf>
    <xf borderId="6" fillId="5" fontId="29" numFmtId="0" xfId="0" applyAlignment="1" applyBorder="1" applyFill="1" applyFont="1">
      <alignment shrinkToFit="0" vertical="center" wrapText="0"/>
    </xf>
    <xf borderId="9" fillId="6" fontId="28" numFmtId="0" xfId="0" applyAlignment="1" applyBorder="1" applyFill="1" applyFont="1">
      <alignment shrinkToFit="0" vertical="center" wrapText="0"/>
    </xf>
    <xf borderId="9" fillId="6" fontId="29" numFmtId="0" xfId="0" applyAlignment="1" applyBorder="1" applyFill="1" applyFont="1">
      <alignment shrinkToFit="0" vertical="center" wrapText="0"/>
    </xf>
    <xf borderId="6" fillId="5" fontId="30" numFmtId="0" xfId="0" applyAlignment="1" applyBorder="1" applyFill="1" applyFont="1">
      <alignment shrinkToFit="0" vertical="center" wrapText="0"/>
    </xf>
    <xf borderId="9" fillId="6" fontId="27" numFmtId="0" xfId="0" applyAlignment="1" applyBorder="1" applyFill="1" applyFont="1">
      <alignment shrinkToFit="0" vertical="center" wrapText="0"/>
    </xf>
    <xf borderId="9" fillId="6" fontId="31" numFmtId="0" xfId="0" applyAlignment="1" applyBorder="1" applyFill="1" applyFont="1">
      <alignment shrinkToFit="0" vertical="center" wrapText="0"/>
    </xf>
    <xf borderId="6" fillId="5" fontId="4" numFmtId="0" xfId="0" applyAlignment="1" applyBorder="1" applyFill="1" applyFont="1">
      <alignment horizontal="center" shrinkToFit="0" vertical="center" wrapText="0"/>
    </xf>
    <xf borderId="6" fillId="5" fontId="31" numFmtId="0" xfId="0" applyAlignment="1" applyBorder="1" applyFill="1" applyFont="1">
      <alignment shrinkToFit="0" vertical="center" wrapText="0"/>
    </xf>
    <xf borderId="9" fillId="6" fontId="30" numFmtId="0" xfId="0" applyAlignment="1" applyBorder="1" applyFill="1" applyFont="1">
      <alignment shrinkToFit="0" vertical="center" wrapText="0"/>
    </xf>
    <xf borderId="9" fillId="6" fontId="4" numFmtId="0" xfId="0" applyAlignment="1" applyBorder="1" applyFill="1" applyFont="1">
      <alignment readingOrder="0" shrinkToFit="0" vertical="center" wrapText="0"/>
    </xf>
    <xf borderId="6" fillId="5" fontId="4" numFmtId="0" xfId="0" applyAlignment="1" applyBorder="1" applyFill="1" applyFont="1">
      <alignment readingOrder="0" shrinkToFit="0" vertical="center" wrapText="0"/>
    </xf>
    <xf borderId="9" fillId="6" fontId="21" numFmtId="0" xfId="0" applyAlignment="1" applyBorder="1" applyFill="1" applyFont="1">
      <alignment shrinkToFit="0" vertical="center" wrapText="1"/>
    </xf>
    <xf borderId="9" fillId="6" fontId="4" numFmtId="0" xfId="0" applyAlignment="1" applyBorder="1" applyFill="1" applyFont="1">
      <alignment shrinkToFit="0" vertical="center" wrapText="0"/>
    </xf>
    <xf borderId="6" fillId="5" fontId="4" numFmtId="0" xfId="0" applyAlignment="1" applyBorder="1" applyFill="1" applyFont="1">
      <alignment shrinkToFit="0" vertical="center" wrapText="0"/>
    </xf>
    <xf borderId="6" fillId="5" fontId="5" numFmtId="0" xfId="0" applyAlignment="1" applyBorder="1" applyFill="1" applyFont="1">
      <alignment horizontal="center" shrinkToFit="0" vertical="center" wrapText="0"/>
    </xf>
    <xf borderId="6" fillId="5" fontId="24" numFmtId="0" xfId="0" applyAlignment="1" applyBorder="1" applyFill="1" applyFont="1">
      <alignment shrinkToFit="0" vertical="center" wrapText="0"/>
    </xf>
    <xf borderId="9" fillId="6" fontId="32" numFmtId="0" xfId="0" applyAlignment="1" applyBorder="1" applyFill="1" applyFont="1">
      <alignment shrinkToFit="0" vertical="center" wrapText="0"/>
    </xf>
    <xf borderId="6" fillId="5" fontId="32" numFmtId="0" xfId="0" applyAlignment="1" applyBorder="1" applyFill="1" applyFont="1">
      <alignment shrinkToFit="0" vertical="center" wrapText="0"/>
    </xf>
    <xf borderId="9" fillId="6" fontId="4" numFmtId="168" xfId="0" applyAlignment="1" applyBorder="1" applyFill="1" applyFont="1" applyNumberFormat="1">
      <alignment shrinkToFit="0" vertical="center" wrapText="0"/>
    </xf>
    <xf borderId="6" fillId="5" fontId="4" numFmtId="168" xfId="0" applyAlignment="1" applyBorder="1" applyFill="1" applyFont="1" applyNumberFormat="1">
      <alignment shrinkToFit="0" vertical="center" wrapText="0"/>
    </xf>
    <xf borderId="6" fillId="5" fontId="33" numFmtId="0" xfId="0" applyAlignment="1" applyBorder="1" applyFill="1" applyFont="1">
      <alignment shrinkToFit="0" vertical="center" wrapText="0"/>
    </xf>
    <xf borderId="9" fillId="6" fontId="34" numFmtId="0" xfId="0" applyAlignment="1" applyBorder="1" applyFill="1" applyFont="1">
      <alignment shrinkToFit="0" vertical="center" wrapText="1"/>
    </xf>
    <xf borderId="9" fillId="6" fontId="33" numFmtId="0" xfId="0" applyAlignment="1" applyBorder="1" applyFill="1" applyFont="1">
      <alignment shrinkToFit="0" vertical="center" wrapText="0"/>
    </xf>
    <xf borderId="6" fillId="5" fontId="5" numFmtId="0" xfId="0" applyAlignment="1" applyBorder="1" applyFill="1" applyFont="1">
      <alignment horizontal="right" shrinkToFit="0" vertical="center" wrapText="1"/>
    </xf>
    <xf borderId="6" fillId="6" fontId="4" numFmtId="0" xfId="0" applyAlignment="1" applyBorder="1" applyFill="1" applyFont="1">
      <alignment horizontal="center" shrinkToFit="0" vertical="center" wrapText="0"/>
    </xf>
    <xf borderId="14" fillId="5" fontId="5" numFmtId="166" xfId="0" applyAlignment="1" applyBorder="1" applyFill="1" applyFont="1" applyNumberFormat="1">
      <alignment horizontal="right" shrinkToFit="0" vertical="center" wrapText="0"/>
    </xf>
    <xf borderId="15" fillId="5" fontId="5" numFmtId="0" xfId="0" applyAlignment="1" applyBorder="1" applyFill="1" applyFont="1">
      <alignment shrinkToFit="0" vertical="center" wrapText="1"/>
    </xf>
    <xf borderId="15" fillId="5" fontId="26" numFmtId="0" xfId="0" applyAlignment="1" applyBorder="1" applyFill="1" applyFont="1">
      <alignment shrinkToFit="0" vertical="center" wrapText="0"/>
    </xf>
    <xf borderId="15" fillId="5" fontId="16" numFmtId="0" xfId="0" applyAlignment="1" applyBorder="1" applyFill="1" applyFont="1">
      <alignment shrinkToFit="0" vertical="center" wrapText="0"/>
    </xf>
    <xf borderId="15" fillId="5" fontId="35" numFmtId="0" xfId="0" applyAlignment="1" applyBorder="1" applyFill="1" applyFont="1">
      <alignment shrinkToFit="0" vertical="bottom" wrapText="0"/>
    </xf>
    <xf borderId="15" fillId="5" fontId="5" numFmtId="0" xfId="0" applyAlignment="1" applyBorder="1" applyFill="1" applyFont="1">
      <alignment shrinkToFit="0" vertical="center" wrapText="0"/>
    </xf>
    <xf borderId="15" fillId="5" fontId="5" numFmtId="0" xfId="0" applyAlignment="1" applyBorder="1" applyFill="1" applyFont="1">
      <alignment horizontal="center" shrinkToFit="0" vertical="center" wrapText="0"/>
    </xf>
    <xf borderId="15" fillId="5" fontId="5" numFmtId="168" xfId="0" applyAlignment="1" applyBorder="1" applyFill="1" applyFont="1" applyNumberFormat="1">
      <alignment horizontal="right" shrinkToFit="0" vertical="center" wrapText="0"/>
    </xf>
    <xf borderId="15" fillId="5" fontId="32" numFmtId="0" xfId="0" applyAlignment="1" applyBorder="1" applyFill="1" applyFont="1">
      <alignment shrinkToFit="0" vertical="center" wrapText="0"/>
    </xf>
    <xf borderId="15" fillId="5" fontId="33" numFmtId="0" xfId="0" applyAlignment="1" applyBorder="1" applyFill="1" applyFont="1">
      <alignment shrinkToFit="0" vertical="center" wrapText="0"/>
    </xf>
    <xf borderId="16" fillId="5" fontId="4" numFmtId="9" xfId="0" applyAlignment="1" applyBorder="1" applyFill="1" applyFont="1" applyNumberFormat="1">
      <alignment shrinkToFit="0" vertical="center" wrapText="0"/>
    </xf>
    <xf borderId="6" fillId="5" fontId="5" numFmtId="0" xfId="0" applyAlignment="1" applyBorder="1" applyFill="1" applyFont="1">
      <alignment horizontal="center" shrinkToFit="0" vertical="center" wrapText="1"/>
    </xf>
    <xf borderId="9" fillId="6" fontId="5" numFmtId="0" xfId="0" applyAlignment="1" applyBorder="1" applyFill="1" applyFont="1">
      <alignment horizontal="center" shrinkToFit="0" vertical="center" wrapText="1"/>
    </xf>
    <xf borderId="9" fillId="6" fontId="36" numFmtId="0" xfId="0" applyAlignment="1" applyBorder="1" applyFill="1" applyFont="1">
      <alignment shrinkToFit="0" vertical="center" wrapText="0"/>
    </xf>
    <xf borderId="0" fillId="0" fontId="1" numFmtId="0" xfId="0" applyAlignment="1" applyFont="1">
      <alignment shrinkToFit="0" wrapText="1"/>
    </xf>
    <xf borderId="0" fillId="0" fontId="1"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Tabla 1-style">
      <tableStyleElement dxfId="1" type="headerRow"/>
      <tableStyleElement dxfId="2" type="firstRowStripe"/>
      <tableStyleElement dxfId="3" type="secondRowStripe"/>
      <tableStyleElement dxfId="4" size="0" type="wholeTable"/>
    </tableStyle>
    <tableStyle count="4" pivot="0" name="Tabla 2-style">
      <tableStyleElement dxfId="1" type="headerRow"/>
      <tableStyleElement dxfId="2" type="firstRowStripe"/>
      <tableStyleElement dxfId="3" type="secondRowStripe"/>
      <tableStyleElement dxfId="4" size="0" type="wholeTable"/>
    </tableStyle>
    <tableStyle count="2" pivot="0" name="Tabla 2-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252" displayName="Tabla_1" name="Tabla_1" id="1">
  <tableColumns count="16">
    <tableColumn name="Fecha" id="1"/>
    <tableColumn name="Título de la Nota" id="2"/>
    <tableColumn name="Medio" id="3"/>
    <tableColumn name="Gestión" id="4"/>
    <tableColumn name="Detalle de Gestión" id="5"/>
    <tableColumn name="Síntesis" id="6"/>
    <tableColumn name="Link" id="7"/>
    <tableColumn name="Tipo de Medio" id="8"/>
    <tableColumn name="Tier" id="9"/>
    <tableColumn name="Valor de Retorno ($$)" id="10"/>
    <tableColumn name="Tono (K)" id="11"/>
    <tableColumn name="Mensaje Clave (L)" id="12"/>
    <tableColumn name="Eje/Tema (M)" id="13"/>
    <tableColumn name="Subtema (N)" id="14"/>
    <tableColumn name="Voceros (O)" id="15"/>
    <tableColumn name="% del Tema (P)" id="16"/>
  </tableColumns>
  <tableStyleInfo name="Tabla 1-style" showColumnStripes="0" showFirstColumn="1" showLastColumn="1" showRowStripes="1"/>
</table>
</file>

<file path=xl/tables/table2.xml><?xml version="1.0" encoding="utf-8"?>
<table xmlns="http://schemas.openxmlformats.org/spreadsheetml/2006/main" ref="A1:E302" displayName="Tabla_2" name="Tabla_2" id="2">
  <autoFilter ref="$A$1:$E$302"/>
  <tableColumns count="5">
    <tableColumn name="LISTA DE MEDIOS (Base)" id="1"/>
    <tableColumn name="Tipo de Medio (Base)" id="2"/>
    <tableColumn name="Tier (Base)" id="3"/>
    <tableColumn name="Valor Estimado (Base)" id="4"/>
    <tableColumn name="Voceros (Base)" id="5"/>
  </tableColumns>
  <tableStyleInfo name="Tabla 2-style" showColumnStripes="0" showFirstColumn="1" showLastColumn="1" showRowStripes="1"/>
</table>
</file>

<file path=xl/tables/table3.xml><?xml version="1.0" encoding="utf-8"?>
<table xmlns="http://schemas.openxmlformats.org/spreadsheetml/2006/main" headerRowCount="0" ref="A312:D313" displayName="Table_1" name="Table_1" id="3">
  <tableColumns count="4">
    <tableColumn name="Column1" id="1"/>
    <tableColumn name="Column2" id="2"/>
    <tableColumn name="Column3" id="3"/>
    <tableColumn name="Column4" id="4"/>
  </tableColumns>
  <tableStyleInfo name="Tabla 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ahiaproductiva.com/2026/03/13/unipar-fue-reconocida-entre-los-mejores-lugares-para-trabajar-en-argentina-2026-porgreat-place-to-work/" TargetMode="External"/><Relationship Id="rId190" Type="http://schemas.openxmlformats.org/officeDocument/2006/relationships/hyperlink" Target="https://poligono.com.ar/2026/08/26/70-arboles-70-anos/" TargetMode="External"/><Relationship Id="rId42" Type="http://schemas.openxmlformats.org/officeDocument/2006/relationships/hyperlink" Target="https://poligono.com.ar/2026/03/13/mejores-lugares-para-trabajar-2026-ranking-en-argentina/" TargetMode="External"/><Relationship Id="rId41" Type="http://schemas.openxmlformats.org/officeDocument/2006/relationships/hyperlink" Target="https://entreriosdigital.com/cuales-son-las-70-mejores-empresas-para-trabajar-en-argentina-en-2026/" TargetMode="External"/><Relationship Id="rId44" Type="http://schemas.openxmlformats.org/officeDocument/2006/relationships/hyperlink" Target="https://futurosustentable.com.ar/unipar-fue-reconocida-entre-los-mejores-lugares-para-trabajar-en-argentina/" TargetMode="External"/><Relationship Id="rId194" Type="http://schemas.openxmlformats.org/officeDocument/2006/relationships/hyperlink" Target="https://norteenlinea.com/amanco-wavin-dona-materiales-para-la-construccion-de-29-viviendas-en-derqui/" TargetMode="External"/><Relationship Id="rId43" Type="http://schemas.openxmlformats.org/officeDocument/2006/relationships/hyperlink" Target="https://frenteacano.com.ar/unipar-fue-reconocida-entre-los-mejores-lugares-para-trabajar-en-argentina/" TargetMode="External"/><Relationship Id="rId193" Type="http://schemas.openxmlformats.org/officeDocument/2006/relationships/hyperlink" Target="https://www.lanueva.com/nota/2026-8-26-19-24-0-unipar-y-mega-celebran-los-70-anos-de-la-uns-con-un-festejo-muy-especial" TargetMode="External"/><Relationship Id="rId46" Type="http://schemas.openxmlformats.org/officeDocument/2006/relationships/hyperlink" Target="https://poligono.com.ar/2026/03/13/unipar-fue-reconocida-entre-los-mejores-lugares-para-trabajar-en-argentina-2026-por-great-place-to-work/" TargetMode="External"/><Relationship Id="rId192" Type="http://schemas.openxmlformats.org/officeDocument/2006/relationships/hyperlink" Target="https://econojournal.com.ar/opinion-mineria-energia/el-nuevo-contrato-productivo-para-competir-en-el-mundo/" TargetMode="External"/><Relationship Id="rId45" Type="http://schemas.openxmlformats.org/officeDocument/2006/relationships/hyperlink" Target="https://www.ingenierowhite.com/2026/03/13/unipar-fue-reconocida-entre-los-mejores-lugares-para-trabajar-en-argentina-2026-porgreat-place-to-work/" TargetMode="External"/><Relationship Id="rId191" Type="http://schemas.openxmlformats.org/officeDocument/2006/relationships/hyperlink" Target="https://argenports.com/nota/la-uns-plantara-70-arboles-por-sus-70-anos-y-avanzara-con-un-plan-de-forestacion-del-campus/" TargetMode="External"/><Relationship Id="rId48" Type="http://schemas.openxmlformats.org/officeDocument/2006/relationships/hyperlink" Target="https://www.masrionegro.com/2026/03/16/rio-negro-verifico-condiciones-ambientales-de-una-obra-en-salina-el-gualicho/" TargetMode="External"/><Relationship Id="rId187" Type="http://schemas.openxmlformats.org/officeDocument/2006/relationships/hyperlink" Target="https://poligono.com.ar/2026/08/25/familias-de-ingeniero-white-transforman-sus-hogares-con-mejoras-sanitarias-de-habitat-para-la-humanidad-argentina/" TargetMode="External"/><Relationship Id="rId47" Type="http://schemas.openxmlformats.org/officeDocument/2006/relationships/hyperlink" Target="https://www.iprofesional.com/management/450137-ranking-arcos-dorados-dhl-y-pedidosya-mejores-empresas-para-trabajar-en-argentina-2026" TargetMode="External"/><Relationship Id="rId186" Type="http://schemas.openxmlformats.org/officeDocument/2006/relationships/hyperlink" Target="https://fmlatribu.com/noticias/nuestra-impronta-es-molestar-al-poder-emiliano-randazzo-sobre-los-37-anos-de-fm-de-la-calle/" TargetMode="External"/><Relationship Id="rId185" Type="http://schemas.openxmlformats.org/officeDocument/2006/relationships/hyperlink" Target="https://www.lagaceta.com.ar/nota/1151128/economia/industria-petroquimica-muestra-recuperacion-reduce-importaciones-30porciento.html" TargetMode="External"/><Relationship Id="rId49" Type="http://schemas.openxmlformats.org/officeDocument/2006/relationships/hyperlink" Target="https://www.ingenierowhite.com/2026/03/16/unipar-jornada-de-recoleccion-de-semillas/" TargetMode="External"/><Relationship Id="rId184" Type="http://schemas.openxmlformats.org/officeDocument/2006/relationships/hyperlink" Target="https://www.labrujula24.com/notas/2026/08/25/habitat-para-la-humanidad-argentina-impulsa-mejoras-sanitarias-en-30-viviendas-del-saladero-n517281/" TargetMode="External"/><Relationship Id="rId189" Type="http://schemas.openxmlformats.org/officeDocument/2006/relationships/hyperlink" Target="https://www.ingenierowhite.com/2026/08/26/70-arboles-70-anos/" TargetMode="External"/><Relationship Id="rId188" Type="http://schemas.openxmlformats.org/officeDocument/2006/relationships/hyperlink" Target="https://bvcnoticias.com.ar/2026/08/compania-mega-y-unipar-celebran-el-aniversario-de-la-uns-plantando-futuro/" TargetMode="External"/><Relationship Id="rId31" Type="http://schemas.openxmlformats.org/officeDocument/2006/relationships/hyperlink" Target="https://infonegocios.info/infogerentes/unipar-renueva-su-liderazgo-ejecutivo-y-gana-peso-institucional-en-la-region-hr-y-representacion-sectorial-2026-2027" TargetMode="External"/><Relationship Id="rId30" Type="http://schemas.openxmlformats.org/officeDocument/2006/relationships/hyperlink" Target="https://sentinel.globalnewsgroup.com/ver-noticia?KLH4WTlWeg-BLtejvBg9wPCclUS9j6NQh11XkK-m7eE" TargetMode="External"/><Relationship Id="rId33" Type="http://schemas.openxmlformats.org/officeDocument/2006/relationships/hyperlink" Target="https://sustenomics.com/un-tema-que-se-consolido-en-2025-fue-la-integridad-la-relevancia-de-tener-datos-clave/" TargetMode="External"/><Relationship Id="rId183" Type="http://schemas.openxmlformats.org/officeDocument/2006/relationships/hyperlink" Target="https://frenteacano.com.ar/habitat-para-la-humanidad-argentina-treinta-familias-del-saladero-tendran-mejoras-sanitarias/" TargetMode="External"/><Relationship Id="rId32" Type="http://schemas.openxmlformats.org/officeDocument/2006/relationships/hyperlink" Target="https://ebizlatam.com/unipar-renueva-cargos-ejecutivos-en-la-region/" TargetMode="External"/><Relationship Id="rId182" Type="http://schemas.openxmlformats.org/officeDocument/2006/relationships/hyperlink" Target="https://www.delabahia.com.ar/descarbonizacion-un-equipo-de-la-unsam-analizo-las-capacidades-industriales-y-energeticas-de-bahia-blanca/" TargetMode="External"/><Relationship Id="rId35" Type="http://schemas.openxmlformats.org/officeDocument/2006/relationships/hyperlink" Target="https://rionegro.gov.ar/articulo/58233/rio-negro-verifico-obra-en-salinas-el-gualicho" TargetMode="External"/><Relationship Id="rId181" Type="http://schemas.openxmlformats.org/officeDocument/2006/relationships/hyperlink" Target="https://bahiaproductiva.com/2026/08/25/treinta-familias-de-saladero-transforman-sus-hogares-a-traves-de-mejoras-sanitarias-impulsadas-por-habitat-para-la-humanidad-argentina/" TargetMode="External"/><Relationship Id="rId34" Type="http://schemas.openxmlformats.org/officeDocument/2006/relationships/hyperlink" Target="https://www.cipollettidigital.com.ar/noticias/2026/03/11/75287-rio-negro-verifico-obra-en-salina-el-gualicho" TargetMode="External"/><Relationship Id="rId180" Type="http://schemas.openxmlformats.org/officeDocument/2006/relationships/hyperlink" Target="https://argenports.com/nota/unipar-impulsa-mejoras-sanitarias-en-viviendas-de-30-familias-de-ingeniero-white/" TargetMode="External"/><Relationship Id="rId37" Type="http://schemas.openxmlformats.org/officeDocument/2006/relationships/hyperlink" Target="https://www.lmcipolletti.com/provincia/salinas-del-gualicho-el-gobierno-inspecciono-obras-y-controlo-el-impacto-ambiental-las-empresas-n1231293" TargetMode="External"/><Relationship Id="rId176" Type="http://schemas.openxmlformats.org/officeDocument/2006/relationships/hyperlink" Target="https://economis.com.ar/petroquimica-argentina-cae-30-la-importacion-y-crecen-38-las-exportaciones/" TargetMode="External"/><Relationship Id="rId36" Type="http://schemas.openxmlformats.org/officeDocument/2006/relationships/hyperlink" Target="https://informativohoy.com.ar/rio-negro-verifico-obra-en-salina-el-gualicho/" TargetMode="External"/><Relationship Id="rId175" Type="http://schemas.openxmlformats.org/officeDocument/2006/relationships/hyperlink" Target="https://sentinel.globalnewsgroup.com/ver-noticia?8wa8a47m0eGEeyXye-ItlubntmP2cu7htheqDD08QPA" TargetMode="External"/><Relationship Id="rId39" Type="http://schemas.openxmlformats.org/officeDocument/2006/relationships/hyperlink" Target="https://argenports.com/nota/unipar-quedo-entre-los-mejores-lugares-para-trabajar-en-argentina-y-se-ubico-21-en-el-ranking-2026/" TargetMode="External"/><Relationship Id="rId174" Type="http://schemas.openxmlformats.org/officeDocument/2006/relationships/hyperlink" Target="https://poderlocal.com.ar/2026/08/23/el-polo-petroquimico-como-motor-industrial-estrategico-mas-alla-del-crudo/" TargetMode="External"/><Relationship Id="rId38" Type="http://schemas.openxmlformats.org/officeDocument/2006/relationships/hyperlink" Target="https://www.infobae.com/tendencias/2026/03/13/cuales-son-las-70-mejores-empresas-para-trabajar-en-argentina-en-2026/" TargetMode="External"/><Relationship Id="rId173" Type="http://schemas.openxmlformats.org/officeDocument/2006/relationships/hyperlink" Target="https://www.lanueva.com/nota/2026-8-23-4-15-27-de-los-primeros-experimentos-a-un-complejo-estrategico" TargetMode="External"/><Relationship Id="rId179" Type="http://schemas.openxmlformats.org/officeDocument/2006/relationships/hyperlink" Target="https://www.ingenierowhite.com/2026/08/24/treinta-familias-de-saladero-transforman-sus-hogares-a-traves-de-mejoras-sanitarias-impulsadas-por-habitat-para-la-humanidad-argentina/" TargetMode="External"/><Relationship Id="rId178" Type="http://schemas.openxmlformats.org/officeDocument/2006/relationships/hyperlink" Target="https://norteenlinea.com/treinta-familias-de-saladero-transforman-sus-hogares-a-traves-de-mejoras-sanitarias-impulsadas-por-habitat-para-la-humanidad-argentina/" TargetMode="External"/><Relationship Id="rId177" Type="http://schemas.openxmlformats.org/officeDocument/2006/relationships/hyperlink" Target="https://www.mdzol.com/dinero/la-industria-petroquimica-reduce-importaciones-y-apunta-vaca-muerta-n1592079" TargetMode="External"/><Relationship Id="rId20" Type="http://schemas.openxmlformats.org/officeDocument/2006/relationships/hyperlink" Target="https://www.ingenierowhite.com/2026/02/12/el-intendente-inauguro-los-nuevos-servicios-de-oncologia-y-hematologia-en-el-hospital-municipal-junto-a-autoridades-y-trabajadores-de-la-salud/" TargetMode="External"/><Relationship Id="rId22" Type="http://schemas.openxmlformats.org/officeDocument/2006/relationships/hyperlink" Target="https://mercado.com.ar/gestion-sustentable/guillermo-petracci-de-unipar-la-variable-esg-actua-como-un-motor-de-innovacion/" TargetMode="External"/><Relationship Id="rId21" Type="http://schemas.openxmlformats.org/officeDocument/2006/relationships/hyperlink" Target="https://sustenomics.com/quienes-tenian-compromisos-reales-con-enfoque-de-gestion-pudieron-sostener-las-agendas-de-sostenibilidad/" TargetMode="External"/><Relationship Id="rId24" Type="http://schemas.openxmlformats.org/officeDocument/2006/relationships/hyperlink" Target="https://sentinel.globalnewsgroup.com/ver-noticia?8Aa4j7y426naa627XRILnrA-vMW8m9BUZQ5iNg6PrzU" TargetMode="External"/><Relationship Id="rId23" Type="http://schemas.openxmlformats.org/officeDocument/2006/relationships/hyperlink" Target="https://www.lanueva.com/nota/2026-2-22-5-0-25-el-hospital-municipal-consolida-su-plan-director-con-una-ampliacion-historica" TargetMode="External"/><Relationship Id="rId26" Type="http://schemas.openxmlformats.org/officeDocument/2006/relationships/hyperlink" Target="https://sustenomics.com/sanar-despues-de-la-tormenta-como-nacio-el-programa-de-salud-mental-de-unipar-ante-la-catastrofe/" TargetMode="External"/><Relationship Id="rId25" Type="http://schemas.openxmlformats.org/officeDocument/2006/relationships/hyperlink" Target="https://norteenlinea.com/unipar-renueva-cargos-ejecutivos-y-refuerza-su-liderazgo-institucional-en-la-region/" TargetMode="External"/><Relationship Id="rId28" Type="http://schemas.openxmlformats.org/officeDocument/2006/relationships/hyperlink" Target="https://www.iprofesional.com/management/448966-aun-en-crisis-de-consumo-las-empresas-cumplieron-con-el-regalo-por-vuelta-a-clases" TargetMode="External"/><Relationship Id="rId27" Type="http://schemas.openxmlformats.org/officeDocument/2006/relationships/hyperlink" Target="https://mercado.com.ar/talento-y-liderazgo/unipar-reordena-su-cupula-de-recursos-humanos-y-amplia-su-presencia-sectorial-regional/" TargetMode="External"/><Relationship Id="rId29" Type="http://schemas.openxmlformats.org/officeDocument/2006/relationships/hyperlink" Target="https://sentinel.globalnewsgroup.com/ver-noticia?fHcvtx0QLhew5hvQz3FRLLPtVBVHDHuBPCa72-z7rp4" TargetMode="External"/><Relationship Id="rId11" Type="http://schemas.openxmlformats.org/officeDocument/2006/relationships/hyperlink" Target="https://www.visionsustentable.com/2026/01/05/sanar-despues-de-la-tormenta-reconstruir-una-comunidad-cuando-el-dano-no-se-ve/" TargetMode="External"/><Relationship Id="rId10" Type="http://schemas.openxmlformats.org/officeDocument/2006/relationships/hyperlink" Target="https://bahiaproductiva.com/info-de-interes/bahia-blanca/" TargetMode="External"/><Relationship Id="rId13" Type="http://schemas.openxmlformats.org/officeDocument/2006/relationships/hyperlink" Target="https://economiasustentable.com/noticias/como-funciona-la-biblia-de-la-industria-quimica-y-petroquimica-para-dejar-de-contaminar/" TargetMode="External"/><Relationship Id="rId12" Type="http://schemas.openxmlformats.org/officeDocument/2006/relationships/hyperlink" Target="https://sentinel.globalnewsgroup.com/ver-noticia?ysTe9aO_9pWtqaYiIJ0yHIzJCBqMZA1s0CXXdYARVPY" TargetMode="External"/><Relationship Id="rId15" Type="http://schemas.openxmlformats.org/officeDocument/2006/relationships/hyperlink" Target="https://drive.google.com/file/d/1TOPVGerlf-EtMckPhQHK7da1fSrz-1M6/view?usp=sharing" TargetMode="External"/><Relationship Id="rId198" Type="http://schemas.openxmlformats.org/officeDocument/2006/relationships/hyperlink" Target="https://8000.ar/%f0%9f%91%a9%f0%9f%92%bb%f0%9f%91%8f-artificial-reconocimiento-leer-y-mas/" TargetMode="External"/><Relationship Id="rId14" Type="http://schemas.openxmlformats.org/officeDocument/2006/relationships/hyperlink" Target="https://sustenomics.com/hoy-la-sostenibilidad-pasa-por-sostener-el-empleo-y-la-productividad-y-eso-tiene-que-ver-con-competitividad/" TargetMode="External"/><Relationship Id="rId197" Type="http://schemas.openxmlformats.org/officeDocument/2006/relationships/hyperlink" Target="https://www.lanueva.com/puntaalta/nota/2026-8-27-5-0-17-bahia-blanca-entre-la-ciencia-la-industria-y-el-futuro-de-la-inteligencia-artificial" TargetMode="External"/><Relationship Id="rId17" Type="http://schemas.openxmlformats.org/officeDocument/2006/relationships/hyperlink" Target="https://nbs.ar/project/revista-no-351/" TargetMode="External"/><Relationship Id="rId196" Type="http://schemas.openxmlformats.org/officeDocument/2006/relationships/hyperlink" Target="https://www.visionsustentable.com/2026/08/26/deficit-habitacional-banos-adecuados-argentina-salud-menstrual/" TargetMode="External"/><Relationship Id="rId16" Type="http://schemas.openxmlformats.org/officeDocument/2006/relationships/hyperlink" Target="https://nbs.ar/premio-conciencia-una-mirada-multisectorial-para-reconocer-impacto-real/" TargetMode="External"/><Relationship Id="rId195" Type="http://schemas.openxmlformats.org/officeDocument/2006/relationships/hyperlink" Target="https://www.fmsuarense.com.ar/post/compania-mega-y-unipar-celebran-el-aniversario-de-la-uns-plantando-futuro" TargetMode="External"/><Relationship Id="rId19" Type="http://schemas.openxmlformats.org/officeDocument/2006/relationships/hyperlink" Target="https://frenteacano.com.ar/el-hospital-municipal-inauguro-los-nuevos-servicios-de-oncologia-y-hematologia/" TargetMode="External"/><Relationship Id="rId18" Type="http://schemas.openxmlformats.org/officeDocument/2006/relationships/hyperlink" Target="https://0291.com.ar/inauguracion-de-nuevos-servicios-de-oncologia-y-hematologia-en-el-hospital-municipal/" TargetMode="External"/><Relationship Id="rId199" Type="http://schemas.openxmlformats.org/officeDocument/2006/relationships/hyperlink" Target="https://frenteacano.com.ar/unipar-y-compania-mega-plantaran-70-arboles-en-el-campus-de-la-uns/" TargetMode="External"/><Relationship Id="rId84" Type="http://schemas.openxmlformats.org/officeDocument/2006/relationships/hyperlink" Target="https://frenteacano.com.ar/cuarto-ano-de-huertas-de-la-ciudad-junto-a-unipar/" TargetMode="External"/><Relationship Id="rId83" Type="http://schemas.openxmlformats.org/officeDocument/2006/relationships/hyperlink" Target="https://argenports.com/nota/unipar-ratifico-su-apoyo-a-huertas-de-la-ciudad-y-ya-impulsa-70-huertas-en-bahia-blanca/" TargetMode="External"/><Relationship Id="rId86" Type="http://schemas.openxmlformats.org/officeDocument/2006/relationships/hyperlink" Target="https://poligono.com.ar/2026/05/22/unipar-acompana-por-cuarto-ano-a-huertas-de-la-ciudad/" TargetMode="External"/><Relationship Id="rId85" Type="http://schemas.openxmlformats.org/officeDocument/2006/relationships/hyperlink" Target="https://www.ingenierowhite.com/2026/05/22/unipar-acompana-por-cuarto-ano-a-huertas-de-la-ciudad/" TargetMode="External"/><Relationship Id="rId88" Type="http://schemas.openxmlformats.org/officeDocument/2006/relationships/hyperlink" Target="https://www.prensa-energetica.com.ar/Prensa-Energetica-Nota-689.html" TargetMode="External"/><Relationship Id="rId150" Type="http://schemas.openxmlformats.org/officeDocument/2006/relationships/hyperlink" Target="https://informativohoy.com.ar/controles-ambientales-acompanan-la-produccion-en-salinas-del-gualicho/" TargetMode="External"/><Relationship Id="rId87" Type="http://schemas.openxmlformats.org/officeDocument/2006/relationships/hyperlink" Target="https://www.mejorenergia.com.ar/noticias/2026/05/27/5709-del-shale-al-valor-agregado-la-industria-petroquimica-busca-convertir-el-boom-de-vaca-muerta-en-inversiones" TargetMode="External"/><Relationship Id="rId89" Type="http://schemas.openxmlformats.org/officeDocument/2006/relationships/hyperlink" Target="https://runrunenergetico.com/el-ipa-realizara-la-jornada-petroquimica-2026-el-9-de-junio-en-el-c3/" TargetMode="External"/><Relationship Id="rId80" Type="http://schemas.openxmlformats.org/officeDocument/2006/relationships/hyperlink" Target="https://www.infocamaras.com.ar/competitividad-y-valor-agregado-los-temas-que-marcaran-la-agenda-de-la-jornada-petroquimica-2026-del-ipa/" TargetMode="External"/><Relationship Id="rId82" Type="http://schemas.openxmlformats.org/officeDocument/2006/relationships/hyperlink" Target="https://mercado.com.ar/agenda/el-ipa-hara-el-9-de-junio-la-jornada-petroquimica-2026-en-el-c3" TargetMode="External"/><Relationship Id="rId81" Type="http://schemas.openxmlformats.org/officeDocument/2006/relationships/hyperlink" Target="https://norteenlinea.com/competitividad-y-valor-agregado-los-temas-que-marcaran-la-agenda-de-la-jornada-petroquimica-2026-del-ipa/" TargetMode="External"/><Relationship Id="rId1" Type="http://schemas.openxmlformats.org/officeDocument/2006/relationships/hyperlink" Target="https://www.lanueva.com/nota/2025-12-30-17-13-0-el-complejo-recreativo-maldonado-reabre-sus-puertas-para-la-temporada-2026" TargetMode="External"/><Relationship Id="rId2" Type="http://schemas.openxmlformats.org/officeDocument/2006/relationships/hyperlink" Target="https://www.ingenierowhite.com/2025/12/30/el-complejo-recreativo-maldonado-reabre-sus-puertas-para-la-temporada-2026/" TargetMode="External"/><Relationship Id="rId3" Type="http://schemas.openxmlformats.org/officeDocument/2006/relationships/hyperlink" Target="https://frenteacano.com.ar/el-viernes-abrira-sus-puertas-el-balneario-maldonado/" TargetMode="External"/><Relationship Id="rId149" Type="http://schemas.openxmlformats.org/officeDocument/2006/relationships/hyperlink" Target="http://www.panoramarnqn.com.ar/2026/07/controles-ambientales-acompanan-la-produccion-en-salinas-del-gualicho/" TargetMode="External"/><Relationship Id="rId4" Type="http://schemas.openxmlformats.org/officeDocument/2006/relationships/hyperlink" Target="https://www.canalsiete.com.ar/c7-noticias/c7-destacada/2025/12/30/complejo-maldonado-abre-sus-puertas-el-viernes/" TargetMode="External"/><Relationship Id="rId148" Type="http://schemas.openxmlformats.org/officeDocument/2006/relationships/hyperlink" Target="https://sentinel.globalnewsgroup.com/ver-noticia?z3QY_1MaRdf1nxIEEPLM8rL8ApcrWCsAYzZNhsWW8cA" TargetMode="External"/><Relationship Id="rId9" Type="http://schemas.openxmlformats.org/officeDocument/2006/relationships/hyperlink" Target="https://bahiaproductiva.com/info-de-interes/industria/" TargetMode="External"/><Relationship Id="rId143" Type="http://schemas.openxmlformats.org/officeDocument/2006/relationships/hyperlink" Target="https://argenports.com/nota/unipar-destaco-siete-anos-de-trabajo-de-su-consejo-comunitario-consultivo-con-proyectos-para-ingeniero-white/" TargetMode="External"/><Relationship Id="rId142" Type="http://schemas.openxmlformats.org/officeDocument/2006/relationships/hyperlink" Target="https://bahiaproductiva.com/2026/07/24/siete-anos-transformando-el-dialogo-en-acciones-para-la-comunidad/" TargetMode="External"/><Relationship Id="rId141" Type="http://schemas.openxmlformats.org/officeDocument/2006/relationships/hyperlink" Target="https://www.ingenierowhite.com/2026/07/24/siete-anos-transformando-el-dialogo-en-acciones-para-la-comunidad/" TargetMode="External"/><Relationship Id="rId140" Type="http://schemas.openxmlformats.org/officeDocument/2006/relationships/hyperlink" Target="https://poligono.com.ar/2026/07/24/siete-anos-transformando-el-dialogo-en-acciones-para-la-comunidad/" TargetMode="External"/><Relationship Id="rId5" Type="http://schemas.openxmlformats.org/officeDocument/2006/relationships/hyperlink" Target="https://0291.com.ar/el-balneario-maldonado-ya-tiene-todo-preparado-para-la-inauguracion-de-temporada-2026/" TargetMode="External"/><Relationship Id="rId147" Type="http://schemas.openxmlformats.org/officeDocument/2006/relationships/hyperlink" Target="https://sentinel.globalnewsgroup.com/ver-noticia?pGmN4jSceb_KEpYdaKtSRRVoCY0MzTdhgg1jPnlmw4o" TargetMode="External"/><Relationship Id="rId6" Type="http://schemas.openxmlformats.org/officeDocument/2006/relationships/hyperlink" Target="https://cafexmedio.com.ar/locales/el-balneario-maldonado-habilito-la-temporada-2026/" TargetMode="External"/><Relationship Id="rId146" Type="http://schemas.openxmlformats.org/officeDocument/2006/relationships/hyperlink" Target="https://www.globalports.com.ar/produccion-petroquimica-bahia-blanca-creebba/" TargetMode="External"/><Relationship Id="rId7" Type="http://schemas.openxmlformats.org/officeDocument/2006/relationships/hyperlink" Target="https://argensur.com.ar/publicacion/22822/el-complejo-recreativo-maldonado-reabre-sus-puertas-para-la-temporada-2026/" TargetMode="External"/><Relationship Id="rId145" Type="http://schemas.openxmlformats.org/officeDocument/2006/relationships/hyperlink" Target="https://ciudadportuaria.com.ar/actualidad/unipar-siete-anos-transformando-el-dialogo-en-acciones-para-la-comunidad/" TargetMode="External"/><Relationship Id="rId8" Type="http://schemas.openxmlformats.org/officeDocument/2006/relationships/hyperlink" Target="https://mega975.com.ar/bahia-blanca-el-balneario-maldonado-habilito-la-temporada-2026/" TargetMode="External"/><Relationship Id="rId144" Type="http://schemas.openxmlformats.org/officeDocument/2006/relationships/hyperlink" Target="https://frenteacano.com.ar/el-consejo-comunitario-consultivo-de-unipar-celebra-su-septimo-aniversario/" TargetMode="External"/><Relationship Id="rId73" Type="http://schemas.openxmlformats.org/officeDocument/2006/relationships/hyperlink" Target="https://drive.google.com/file/d/1MAMyVunXZU1n06GOMh8vkvepeMaxL3bV/view?usp=sharing" TargetMode="External"/><Relationship Id="rId72" Type="http://schemas.openxmlformats.org/officeDocument/2006/relationships/hyperlink" Target="https://www.cronista.com/quien-es-quien/empresa/unipar/" TargetMode="External"/><Relationship Id="rId75" Type="http://schemas.openxmlformats.org/officeDocument/2006/relationships/hyperlink" Target="https://www.elobservador.com.uy/argentina/economia-y-negocios/litio-el-rol-clave-los-proveedores-la-nueva-escala-minera-n6043646" TargetMode="External"/><Relationship Id="rId74" Type="http://schemas.openxmlformats.org/officeDocument/2006/relationships/hyperlink" Target="https://poligono.com.ar/2026/05/07/dia-de-la-industria-minera-el-rol-estrategico-de-los-proveedores-para-potenciar-el-crecimiento-del-sector/" TargetMode="External"/><Relationship Id="rId77" Type="http://schemas.openxmlformats.org/officeDocument/2006/relationships/hyperlink" Target="https://econojournal.com.ar/2026/05/competitividad-y-valor-agregado-los-temas-que-marcaran-la-agenda-de-la-jornada-petroquimica-2026-del-ipa/" TargetMode="External"/><Relationship Id="rId76" Type="http://schemas.openxmlformats.org/officeDocument/2006/relationships/hyperlink" Target="https://www.globalports.com.ar/posta-para-inflamables-puerto-bahia-blanca/" TargetMode="External"/><Relationship Id="rId79" Type="http://schemas.openxmlformats.org/officeDocument/2006/relationships/hyperlink" Target="https://www.diarioelpaso.com/2026/05/20/competitividad-y-valor-agregado-los-temas-que-marcaran-la-agenda-de-la-jornada-petroquimica-2026-del-ipa/" TargetMode="External"/><Relationship Id="rId78" Type="http://schemas.openxmlformats.org/officeDocument/2006/relationships/hyperlink" Target="https://www.laizquierdadiario.com/Escuelas-tecnicas-bajo-fuego-las-quieren-desfinanciadas-descentralizadas-y-para-las-empresas" TargetMode="External"/><Relationship Id="rId71" Type="http://schemas.openxmlformats.org/officeDocument/2006/relationships/hyperlink" Target="https://sentinel.globalnewsgroup.com/ver-noticia?ZqVcY8CYVc7o2lmGp87B6yGet9Wb_VPLNkfWL7XMovc" TargetMode="External"/><Relationship Id="rId70" Type="http://schemas.openxmlformats.org/officeDocument/2006/relationships/hyperlink" Target="https://sentinel.globalnewsgroup.com/ver-noticia?YM6l55J6PPhVFx_tKMuo5nWj9-bZofqDTIaOmMzqpIU" TargetMode="External"/><Relationship Id="rId139" Type="http://schemas.openxmlformats.org/officeDocument/2006/relationships/hyperlink" Target="https://drive.google.com/file/d/1L2YR3Vp_4TfUknzk33Ez2J9skotcwiu5/view?usp=sharing" TargetMode="External"/><Relationship Id="rId138" Type="http://schemas.openxmlformats.org/officeDocument/2006/relationships/hyperlink" Target="https://drive.google.com/file/d/1Jbmpfd6FWryNGcXgL4z7IesZ3Hv-azPk/view?usp=sharing" TargetMode="External"/><Relationship Id="rId137" Type="http://schemas.openxmlformats.org/officeDocument/2006/relationships/hyperlink" Target="https://cronistasdelmundo.com.ar/actualidad/matias-campodonico-fue-reelegido-presidente-de-la-camara-de-la-industria-quimica-y-petroquimica/" TargetMode="External"/><Relationship Id="rId132" Type="http://schemas.openxmlformats.org/officeDocument/2006/relationships/hyperlink" Target="https://infonegocios.info/infogerentes/matias-campodonico-fue-reelegido-presidente-de-la-camara-de-la-industria-quimica-y-petroquimica" TargetMode="External"/><Relationship Id="rId131" Type="http://schemas.openxmlformats.org/officeDocument/2006/relationships/hyperlink" Target="https://norteenlinea.com/matias-campodonico-fue-reelegido-presidente-de-la-camara-de-la-industria-quimica-y-petroquimica-para-el-periodo-2026-2028/" TargetMode="External"/><Relationship Id="rId252" Type="http://schemas.openxmlformats.org/officeDocument/2006/relationships/drawing" Target="../drawings/drawing1.xml"/><Relationship Id="rId130" Type="http://schemas.openxmlformats.org/officeDocument/2006/relationships/hyperlink" Target="https://mercado.com.ar/talento-y-liderazgo/matias-campodonico-fue-reelegido-presidente-de-la-ciqyp-para-el-periodo-2026-2028" TargetMode="External"/><Relationship Id="rId251" Type="http://schemas.openxmlformats.org/officeDocument/2006/relationships/hyperlink" Target="https://www.forbesargentina.com/negocios/las-principales-empresas-industria-mas-pujante-argentina-n98186-n98186" TargetMode="External"/><Relationship Id="rId250" Type="http://schemas.openxmlformats.org/officeDocument/2006/relationships/hyperlink" Target="https://sentinel.globalnewsgroup.com/ver-noticia?lJkXTIVC1KysdFMoLm5ElNswqSG8kCtZTIbYrGzhNxY" TargetMode="External"/><Relationship Id="rId136" Type="http://schemas.openxmlformats.org/officeDocument/2006/relationships/hyperlink" Target="https://argenports.com/nota/matias-campodonico-fue-reelegido-presidente-de-la-industria-quimica-y-petroquimica-argentina/" TargetMode="External"/><Relationship Id="rId135" Type="http://schemas.openxmlformats.org/officeDocument/2006/relationships/hyperlink" Target="https://argenports.com/nota/bahia-blanca-concentra-mas-de-la-mitad-de-toda-la-capacidad-petroquimica-instalada-del-pais/" TargetMode="External"/><Relationship Id="rId134" Type="http://schemas.openxmlformats.org/officeDocument/2006/relationships/hyperlink" Target="https://www.parlamentario.com/2026/07/01/campodonico-fue-reelegido-al-frente-de-la-ciqyp-para-el-periodo-2026-2028/" TargetMode="External"/><Relationship Id="rId133" Type="http://schemas.openxmlformats.org/officeDocument/2006/relationships/hyperlink" Target="https://runrunenergetico.com/la-camara-de-la-industria-quimica-y-petroquimica-renueva-autoridades-y-confirma-a-matias-campodonico-como-presidente-para-el-periodo-2026-2028/" TargetMode="External"/><Relationship Id="rId254" Type="http://schemas.openxmlformats.org/officeDocument/2006/relationships/table" Target="../tables/table1.xml"/><Relationship Id="rId62" Type="http://schemas.openxmlformats.org/officeDocument/2006/relationships/hyperlink" Target="https://portalbahiense.com.ar/pueyrredon-se-suma-a-la-recuperacion-64-clubes-ya-fueron-asistidos-por-el-programa-clubes-de-pie/" TargetMode="External"/><Relationship Id="rId61" Type="http://schemas.openxmlformats.org/officeDocument/2006/relationships/hyperlink" Target="https://www.lanueva.com/nota/2026-4-14-12-11-0-clubes-de-pie-pueyrredon-presento-las-obras-de-en-el-vicente-palermo" TargetMode="External"/><Relationship Id="rId64" Type="http://schemas.openxmlformats.org/officeDocument/2006/relationships/hyperlink" Target="https://urbana939.com.ar/pueyrredon-inauguro-obras-en-el-marco-del-programa-clubes-de-pie-es-un-empujon-enorme/" TargetMode="External"/><Relationship Id="rId63" Type="http://schemas.openxmlformats.org/officeDocument/2006/relationships/hyperlink" Target="https://bvcnoticias.com.ar/2026/04/pueyrredon-se-suma-a-la-recuperacion-64-clubes-ya-fueron-asistidos-por-el-programa-clubes-de-pie/" TargetMode="External"/><Relationship Id="rId66" Type="http://schemas.openxmlformats.org/officeDocument/2006/relationships/hyperlink" Target="https://quepasaciudad.com.ar/clubes-de-pie-pueyrredon-inauguro-obras-de-infraestructura-tras-la-inundacion/" TargetMode="External"/><Relationship Id="rId172" Type="http://schemas.openxmlformats.org/officeDocument/2006/relationships/hyperlink" Target="https://www.lanueva.com/puntaalta/nota/2026-8-23-4-15-27-el-polo-petroquimico-como-motor-industrial-estrategico-mas-alla-del-crudo" TargetMode="External"/><Relationship Id="rId65" Type="http://schemas.openxmlformats.org/officeDocument/2006/relationships/hyperlink" Target="https://lu3digital.com.ar/clubes-de-pie-con-una-inversion-de-33-millones-de-pesos-pueyrredon-inauguro-sus-nuevas-instalaciones/" TargetMode="External"/><Relationship Id="rId171" Type="http://schemas.openxmlformats.org/officeDocument/2006/relationships/hyperlink" Target="https://sentinel.globalnewsgroup.com/ver-noticia?9aPmb-vnTpVhKLIHu3g51rDGIpHqIQAwVgtlqDZyVG0" TargetMode="External"/><Relationship Id="rId68" Type="http://schemas.openxmlformats.org/officeDocument/2006/relationships/hyperlink" Target="https://drive.google.com/file/d/1Cm1nCJAXrtx1ZwRypRzGfSMRYtv5Wpjz/view?usp=sharing" TargetMode="External"/><Relationship Id="rId170" Type="http://schemas.openxmlformats.org/officeDocument/2006/relationships/hyperlink" Target="https://sentinel.globalnewsgroup.com/ver-noticia?xR4wq39t9451tYaUssGJfgJcWyDz6W5ifc6P3638D8Y" TargetMode="External"/><Relationship Id="rId67" Type="http://schemas.openxmlformats.org/officeDocument/2006/relationships/hyperlink" Target="https://0291.com.ar/pueyrredon-y-un-nuevo-club-de-pie-con-su-nueva-cancha-de-basquet/" TargetMode="External"/><Relationship Id="rId60" Type="http://schemas.openxmlformats.org/officeDocument/2006/relationships/hyperlink" Target="https://www.ingenierowhite.com/2026/04/14/pueyrredon-se-suma-a-la-recuperacion-con-unipar-como-padrino-64-clubes-ya-fueron-asistidos-por-el-programa-clubes-de-pie/" TargetMode="External"/><Relationship Id="rId165" Type="http://schemas.openxmlformats.org/officeDocument/2006/relationships/hyperlink" Target="https://norteenlinea.com/gestion-responsable-sostenibilidad-y-participacion-el-sector-define-su-agenda-en-el-9o-seminario-anual-del-pcrma/" TargetMode="External"/><Relationship Id="rId69" Type="http://schemas.openxmlformats.org/officeDocument/2006/relationships/hyperlink" Target="https://mercado.com.ar/protagonistas/unipar-protagonista-de-2025-la-salud-mental-en-la-agenda" TargetMode="External"/><Relationship Id="rId164" Type="http://schemas.openxmlformats.org/officeDocument/2006/relationships/hyperlink" Target="https://masindustrias.com.ar/instituciones-bahienses-preparan-una-jornada-sobre-el-futuro-del-perfil-industrial-de-la-ciudad/" TargetMode="External"/><Relationship Id="rId163" Type="http://schemas.openxmlformats.org/officeDocument/2006/relationships/hyperlink" Target="https://cafexmedio.com.ar/locales/susbielles-recorrio-una-empresa-del-polo-y-destaco-el-aporte-de-la-industria-al-desarrollo-de-bahia-blanca/" TargetMode="External"/><Relationship Id="rId162" Type="http://schemas.openxmlformats.org/officeDocument/2006/relationships/hyperlink" Target="https://portalbahiense.com.ar/susbielles-recorrio-una-empresa-del-polo-y-destaco-el-aporte-de-la-industria-al-desarrollo-de-bahia-blanca/" TargetMode="External"/><Relationship Id="rId169" Type="http://schemas.openxmlformats.org/officeDocument/2006/relationships/hyperlink" Target="https://sentinel.globalnewsgroup.com/ver-noticia?W2rnmQdCeeNh5uq0CHgIvqEprSP76mycxcMr2Oyk7Pk" TargetMode="External"/><Relationship Id="rId168" Type="http://schemas.openxmlformats.org/officeDocument/2006/relationships/hyperlink" Target="https://sentinel.globalnewsgroup.com/ver-noticia?aF5XCbuS2SoZUv3FVb4rIJ7OHReBEXVZzILOGTil_hE" TargetMode="External"/><Relationship Id="rId167" Type="http://schemas.openxmlformats.org/officeDocument/2006/relationships/hyperlink" Target="https://sentinel.globalnewsgroup.com/ver-noticia?EwyzpPBbRgQVRN89cpDN9g5cjnt2DJzQTnFwpve1TbQ" TargetMode="External"/><Relationship Id="rId166" Type="http://schemas.openxmlformats.org/officeDocument/2006/relationships/hyperlink" Target="https://mercado.com.ar/agenda/la-industria-quimica-y-petroquimica-realizara-el-9-seminario-anual-del-pcrma-en-octubre" TargetMode="External"/><Relationship Id="rId51" Type="http://schemas.openxmlformats.org/officeDocument/2006/relationships/hyperlink" Target="https://www.talentoyempresa.com.ar/article/designaciones-en-mercado-libre-basf-y-eresagro" TargetMode="External"/><Relationship Id="rId50" Type="http://schemas.openxmlformats.org/officeDocument/2006/relationships/hyperlink" Target="https://futurosustentable.com.ar/industria-quimica-y-gestion-del-agua-eficiencia-reutilizacion-y-sostenibilidad-como-ejes-estrategicos/" TargetMode="External"/><Relationship Id="rId53" Type="http://schemas.openxmlformats.org/officeDocument/2006/relationships/hyperlink" Target="https://www.lanueva.com/puntaalta/nota/2026-4-11-4-0-36-unipar-y-bahia-blanca-una-historia-compartida" TargetMode="External"/><Relationship Id="rId52" Type="http://schemas.openxmlformats.org/officeDocument/2006/relationships/hyperlink" Target="https://archivos.globalnews.com.ar/682/746/364/29.03.2026_1910_14eeaf0.jpg" TargetMode="External"/><Relationship Id="rId55" Type="http://schemas.openxmlformats.org/officeDocument/2006/relationships/hyperlink" Target="https://0291.com.ar/pueyrredon-y-un-nuevo-club-de-pie-con-su-nueva-cancha-de-basquet/" TargetMode="External"/><Relationship Id="rId161" Type="http://schemas.openxmlformats.org/officeDocument/2006/relationships/hyperlink" Target="https://www.cronista.com/apertura/empresas/el-mapa-del-poder-quienes-son-los-ceo-de-las-grandes-empresas-y-los-nuevos-ejecutivos-que-asumieron-este-ano/" TargetMode="External"/><Relationship Id="rId54" Type="http://schemas.openxmlformats.org/officeDocument/2006/relationships/hyperlink" Target="https://sentinel.globalnewsgroup.com/ver-noticia?vd1B4HLJkCxKYgAKED0caHf9oI-M7NdPd_gAyaMpgBY" TargetMode="External"/><Relationship Id="rId160" Type="http://schemas.openxmlformats.org/officeDocument/2006/relationships/hyperlink" Target="https://masindustrias.com.ar/bahia-summit-energia-industria-y-pymes-los-ejes-del-encuentro-sobre-ia/" TargetMode="External"/><Relationship Id="rId57" Type="http://schemas.openxmlformats.org/officeDocument/2006/relationships/hyperlink" Target="https://www.canalsiete.com.ar/c7-noticias/c7-otras-destacadas/2026/04/14/tras-la-inundacion-el-club-pueyrredon-inauguro-obras-clave-de-recuperacion/" TargetMode="External"/><Relationship Id="rId56" Type="http://schemas.openxmlformats.org/officeDocument/2006/relationships/hyperlink" Target="https://argensur.com.ar/publicacion/9166/clubes-de-pie--el-municipio-reconstruira-los-gimnasios-derrumbados-y-fortalecera-a-instituciones-que-hayan-sufrido-afecciones-por-el-temporal" TargetMode="External"/><Relationship Id="rId159" Type="http://schemas.openxmlformats.org/officeDocument/2006/relationships/hyperlink" Target="https://www.lanueva.com/puntaalta/nota/2026-8-18-19-7-0-el-embajador-de-italia-en-la-uibb-estamos-en-la-busqueda-de-mercados-para-vender-pero-tambien-para-comprar" TargetMode="External"/><Relationship Id="rId59" Type="http://schemas.openxmlformats.org/officeDocument/2006/relationships/hyperlink" Target="https://frenteacano.com.ar/programa-clubes-de-pie-pueyrredon-tambien-inauguro-obras/" TargetMode="External"/><Relationship Id="rId154" Type="http://schemas.openxmlformats.org/officeDocument/2006/relationships/hyperlink" Target="https://sustenomics.com/el-balance-de-los-siete-anos-de-trabajo-colaborativo-del-consejo-comunitario-consultivo-de-unipar/" TargetMode="External"/><Relationship Id="rId58" Type="http://schemas.openxmlformats.org/officeDocument/2006/relationships/hyperlink" Target="https://www.delabahia.com.ar/pueyrredon-se-suma-a-la-recuperacion-64-clubes-ya-fueron-asistidos-por-el-programa-clubes-de-pie/" TargetMode="External"/><Relationship Id="rId153" Type="http://schemas.openxmlformats.org/officeDocument/2006/relationships/hyperlink" Target="https://estesur.com.ar/articulo/2026/07/rio-negro-realizo-una-nueva-inspeccion-ambiental-en-el-yacimiento-general-san-martin.php" TargetMode="External"/><Relationship Id="rId152" Type="http://schemas.openxmlformats.org/officeDocument/2006/relationships/hyperlink" Target="https://semanariobariloche.com.ar/controles-ambientales-en-salinas-del-gualicho/" TargetMode="External"/><Relationship Id="rId151" Type="http://schemas.openxmlformats.org/officeDocument/2006/relationships/hyperlink" Target="https://www.masrionegro.com/2026/07/27/controles-ambientales-de-la-produccion-en-salinas-del-gualicho/" TargetMode="External"/><Relationship Id="rId158" Type="http://schemas.openxmlformats.org/officeDocument/2006/relationships/hyperlink" Target="https://futurosustentable.com.ar/el-summit-de-residuos-puso-en-agenda-los-desafios-de-la-gestion-urbana-y-la-economia-circular/" TargetMode="External"/><Relationship Id="rId157" Type="http://schemas.openxmlformats.org/officeDocument/2006/relationships/hyperlink" Target="https://gerencia-ambiental.com/unipar-redujo-22-sus-emisiones-y-apunta-a-profundizar-su-estrategia-de-sustentabilidad/" TargetMode="External"/><Relationship Id="rId156" Type="http://schemas.openxmlformats.org/officeDocument/2006/relationships/hyperlink" Target="https://mercado.com.ar/talento-y-liderazgo/martin-fasano-de-unipar-tenemos-una-cultura-basada-en-el-comportamiento-etico-y-el-respeto" TargetMode="External"/><Relationship Id="rId155" Type="http://schemas.openxmlformats.org/officeDocument/2006/relationships/hyperlink" Target="https://futurosustentable.com.ar/unipar-celebra-siete-anos-de-su-consejo-comunitario-consultivo-con-35-proyectos-de-impacto-social-en-ingeniero-white/" TargetMode="External"/><Relationship Id="rId107" Type="http://schemas.openxmlformats.org/officeDocument/2006/relationships/hyperlink" Target="https://gerencia-ambiental.com/unipar-profundiza-inversiones-para-reducir-emisiones-y-mejorar-la-eficiencia/" TargetMode="External"/><Relationship Id="rId228" Type="http://schemas.openxmlformats.org/officeDocument/2006/relationships/hyperlink" Target="https://delacalle.org/la-contaminacion-que-no-vemos-presentan-informe-sobre-emisiones-toxicas-en-bahia-blanca/" TargetMode="External"/><Relationship Id="rId106" Type="http://schemas.openxmlformats.org/officeDocument/2006/relationships/hyperlink" Target="https://bahiaproductiva.com/2026/06/02/unipar-presenta-su-reporte-de-sostenibilidad-2025-con-resultados-que-superan-el-cumplimiento-de-sus-compromisos/" TargetMode="External"/><Relationship Id="rId227" Type="http://schemas.openxmlformats.org/officeDocument/2006/relationships/hyperlink" Target="https://www.lanueva.com/nota/2026-9-6-4-15-16-mega-acompano-a-la-uns-en-la-conmemoracion-de-su-70-aniversario" TargetMode="External"/><Relationship Id="rId105" Type="http://schemas.openxmlformats.org/officeDocument/2006/relationships/hyperlink" Target="https://www.ingenierowhite.com/2026/06/02/unipar-presenta-su-reporte-de-sostenibilidad-2025-con-resultados-que-superan-el-cumplimiento-de-sus-compromisos/" TargetMode="External"/><Relationship Id="rId226" Type="http://schemas.openxmlformats.org/officeDocument/2006/relationships/hyperlink" Target="https://sentinel.globalnewsgroup.com/ver-noticia?M4CNo6oxQ0ED62uaFnvsjw-P1eNczYLBevjHIe9-5Nw" TargetMode="External"/><Relationship Id="rId104" Type="http://schemas.openxmlformats.org/officeDocument/2006/relationships/hyperlink" Target="https://masindustrias.com.ar/del-agua-a-la-cancha-la-reconstruccion-de-los-pisos-deportivos-en-bahia-blanca/" TargetMode="External"/><Relationship Id="rId225" Type="http://schemas.openxmlformats.org/officeDocument/2006/relationships/hyperlink" Target="https://www.visionsustentable.com/wp-content/uploads/2026/08/El-mapa-de-la-sustentabilidad-2026-V-06-REVISION-FINAL-FINAL.pdf" TargetMode="External"/><Relationship Id="rId109" Type="http://schemas.openxmlformats.org/officeDocument/2006/relationships/hyperlink" Target="https://chenewsar.substack.com/p/entre-retrocesos-y-pequenas-victorias" TargetMode="External"/><Relationship Id="rId108" Type="http://schemas.openxmlformats.org/officeDocument/2006/relationships/hyperlink" Target="https://www.tercertiempo.news/empresas/inversiones-sostenibles-unipar/" TargetMode="External"/><Relationship Id="rId229" Type="http://schemas.openxmlformats.org/officeDocument/2006/relationships/hyperlink" Target="https://inversorlatam.com/unipar-se-suma-al-impulso-de-bahia-blanca-como-nodo-estrategico-de-ia-del-sur/" TargetMode="External"/><Relationship Id="rId220" Type="http://schemas.openxmlformats.org/officeDocument/2006/relationships/hyperlink" Target="https://revistarojo.com.ar/gestion-responsable-sostenibilidad-y-participacion-el-sector-define-su-agenda-en-el-9o-seminario-anual-del-pcrma/" TargetMode="External"/><Relationship Id="rId103" Type="http://schemas.openxmlformats.org/officeDocument/2006/relationships/hyperlink" Target="https://revistarojo.com.ar/competitividad-inversion-y-desarrollo-industrial-ejes-de-la-jornada-petroquimica-2026-del-ipa/" TargetMode="External"/><Relationship Id="rId224" Type="http://schemas.openxmlformats.org/officeDocument/2006/relationships/hyperlink" Target="https://www.youtube.com/live/rcqdYM27eDo" TargetMode="External"/><Relationship Id="rId102" Type="http://schemas.openxmlformats.org/officeDocument/2006/relationships/hyperlink" Target="https://eleconomista.com.ar/energia/el-desafio-ya-extraer-gas-convertirlo-industria-exportaciones-n95662" TargetMode="External"/><Relationship Id="rId223" Type="http://schemas.openxmlformats.org/officeDocument/2006/relationships/hyperlink" Target="https://interseccion.ar/tener-un-bano-adecuado-tambien-es-vivienda-diga-la-experiencia-en-ingeniero-white/" TargetMode="External"/><Relationship Id="rId101" Type="http://schemas.openxmlformats.org/officeDocument/2006/relationships/hyperlink" Target="https://argenports.com/nota/unipar-reprogramo-su-jornada-abierta-con-simuladores-de-manejo-por-razones-climaticas/" TargetMode="External"/><Relationship Id="rId222" Type="http://schemas.openxmlformats.org/officeDocument/2006/relationships/hyperlink" Target="https://0291.com.ar/jornada-de-plantacion-de-arboles-en-el-campus-de-la-uns/" TargetMode="External"/><Relationship Id="rId100" Type="http://schemas.openxmlformats.org/officeDocument/2006/relationships/hyperlink" Target="https://cambras.org.ar/unipar-presenta-su-reporte-de-sostenibilidad-2025-con-resultados-que-superan-el-cumplimiento-de-sus-compromisos/" TargetMode="External"/><Relationship Id="rId221" Type="http://schemas.openxmlformats.org/officeDocument/2006/relationships/hyperlink" Target="https://www.cronista.com/apertura/empresas/sustentabilidad-que-hacen-mas-de-100-empresas-y-cuales-son-sus-proximos-objetivos/" TargetMode="External"/><Relationship Id="rId217" Type="http://schemas.openxmlformats.org/officeDocument/2006/relationships/hyperlink" Target="https://www.pregon.com.ar/nota/-70954/2026/08/bahia-blanca-busca-consolidarse-como-polo-de-inteligencia-artificial-con-ciencia-e-industria" TargetMode="External"/><Relationship Id="rId216" Type="http://schemas.openxmlformats.org/officeDocument/2006/relationships/hyperlink" Target="https://poderlocal.com.ar/2026/08/27/el-puerto-de-bahia-blanca-eje-del-desarrollo-de-la-ia-en-la-region/" TargetMode="External"/><Relationship Id="rId215" Type="http://schemas.openxmlformats.org/officeDocument/2006/relationships/hyperlink" Target="https://poderlocal.com.ar/2026/08/27/bahia-blanca-entre-la-ciencia-la-industria-y-el-futuro-de-la-inteligencia-artificial/" TargetMode="External"/><Relationship Id="rId214" Type="http://schemas.openxmlformats.org/officeDocument/2006/relationships/hyperlink" Target="https://sentinel.globalnewsgroup.com/ver-noticia?UTW4KxTEMLjtrPcZnUUhlfgGYQ6IX1voSc41kCY7h_4" TargetMode="External"/><Relationship Id="rId219" Type="http://schemas.openxmlformats.org/officeDocument/2006/relationships/hyperlink" Target="https://infobonaerenses.com.ar/nota/44323/bahia-blanca-firmo-una-declaracion-para-consolidarse-como-polo-de-inteligencia-artificial/" TargetMode="External"/><Relationship Id="rId218" Type="http://schemas.openxmlformats.org/officeDocument/2006/relationships/hyperlink" Target="https://futurosustentable.com.ar/habitat-y-unipar-impulsan-mejoras-habitacionales-para-30-familias-de-ingeniero-white/" TargetMode="External"/><Relationship Id="rId213" Type="http://schemas.openxmlformats.org/officeDocument/2006/relationships/hyperlink" Target="https://www.noticiastornquist.com.ar/2026/08/27/bahia-blanca-busca-posicionarse-como-polo-de-inteligencia-artificial-1/" TargetMode="External"/><Relationship Id="rId212" Type="http://schemas.openxmlformats.org/officeDocument/2006/relationships/hyperlink" Target="https://noticiasargentinas.com/politica/bahia-blanca-busca-consolidarse-como-polo-de-inteligencia-artificial-con-ciencia-e-industria_a6a9051b72f1b4dc1bbf53a89" TargetMode="External"/><Relationship Id="rId211" Type="http://schemas.openxmlformats.org/officeDocument/2006/relationships/hyperlink" Target="https://mercado.com.ar/gestion-sustentable/amanco-wavin-aporto-materiales-sanitarios-para-29-viviendas-en-derqui-buenos-aires" TargetMode="External"/><Relationship Id="rId210" Type="http://schemas.openxmlformats.org/officeDocument/2006/relationships/hyperlink" Target="https://www.letrap.com.ar/politica/bahia-blanca-quiere-convertirse-el-gran-polo-inteligencia-artificial-del-sur-argentino-n5426137" TargetMode="External"/><Relationship Id="rId129" Type="http://schemas.openxmlformats.org/officeDocument/2006/relationships/hyperlink" Target="https://masindustrias.com.ar/el-polo-petroquimico-de-bahia-blanca-concentra-mas-de-la-mitad-de-la-capacidad-instalada-del-pais/" TargetMode="External"/><Relationship Id="rId128" Type="http://schemas.openxmlformats.org/officeDocument/2006/relationships/hyperlink" Target="https://www.lanueva.com/nota/2026-6-21-5-0-15-otro-gran-local-gastronomico-en-alem-los-shop-in-shop-y-el-fin-de-dos-mitos-comerciales" TargetMode="External"/><Relationship Id="rId249" Type="http://schemas.openxmlformats.org/officeDocument/2006/relationships/hyperlink" Target="https://www.lanueva.com/nota/2026-9-27-4-15-16-ingeniero-white-y-unipar-una-historia-compartida-que-mira-al-futuro" TargetMode="External"/><Relationship Id="rId127" Type="http://schemas.openxmlformats.org/officeDocument/2006/relationships/hyperlink" Target="https://sentinel.globalnewsgroup.com/ver-noticia?A1G4nlEH_UXKbpYc2iMP4a6S-2QPzy6mmLK-LYAqttg" TargetMode="External"/><Relationship Id="rId248" Type="http://schemas.openxmlformats.org/officeDocument/2006/relationships/hyperlink" Target="https://mercado.com.ar/innovacion/guillermo-petracci-de-unipar-la-innovacion-forma-parte-de-nuestra-cultura-de-mejora-continua" TargetMode="External"/><Relationship Id="rId126" Type="http://schemas.openxmlformats.org/officeDocument/2006/relationships/hyperlink" Target="https://sentinel.globalnewsgroup.com/ver-noticia?XrSPaVCUw2rZDpi9XqtRuCy2j8vfuA8SG9y8uam1eX0" TargetMode="External"/><Relationship Id="rId247" Type="http://schemas.openxmlformats.org/officeDocument/2006/relationships/hyperlink" Target="https://bahiaproductiva.com/2026/09/21/la-uibb-renovo-parte-de-su-comision-directiva-y-gustavo-elias-continuara-como-presidente/" TargetMode="External"/><Relationship Id="rId121" Type="http://schemas.openxmlformats.org/officeDocument/2006/relationships/hyperlink" Target="https://bahiaproductiva.com/2026/06/09/unipar-impulsa-una-jornada-de-concientizacion-por-el-dia-nacional-de-la-seguridad-vial/" TargetMode="External"/><Relationship Id="rId242" Type="http://schemas.openxmlformats.org/officeDocument/2006/relationships/hyperlink" Target="https://sentinel.globalnewsgroup.com/ver-noticia?2zSW-Bgc4aWeZiMC5yoSa4FNa0Coe81TPCX3vbfxj1c" TargetMode="External"/><Relationship Id="rId120" Type="http://schemas.openxmlformats.org/officeDocument/2006/relationships/hyperlink" Target="https://ciudadportuaria.com.ar/actualidad/unipar-impulsa-una-jornada-de-concientizacion-por-el-dia-nacional-de-la-seguridad-vial/" TargetMode="External"/><Relationship Id="rId241" Type="http://schemas.openxmlformats.org/officeDocument/2006/relationships/hyperlink" Target="https://sentinel.globalnewsgroup.com/ver-noticia?bqnceBqijh2tNgAalALajrmX3bnoNU15LaH9k9sQWWQ" TargetMode="External"/><Relationship Id="rId240" Type="http://schemas.openxmlformats.org/officeDocument/2006/relationships/hyperlink" Target="https://sentinel.globalnewsgroup.com/ver-noticia?6kJx5FcAlxnQ4zVW9rxTWwzWUAynowJ29oDHqARkSlo" TargetMode="External"/><Relationship Id="rId125" Type="http://schemas.openxmlformats.org/officeDocument/2006/relationships/hyperlink" Target="https://sentinel.globalnewsgroup.com/ver-noticia?dMrHCpdf80JOqcpD2B54ZybjRzy9Dr3IpAPbWFVpuDU" TargetMode="External"/><Relationship Id="rId246" Type="http://schemas.openxmlformats.org/officeDocument/2006/relationships/hyperlink" Target="https://www.lanueva.com/puntaalta/nota/2026-9-21-11-32-0-la-uibb-renovo-parcialmente-sus-autoridades-y-gustavo-elias-continuara-al-frente-de-la-institucion" TargetMode="External"/><Relationship Id="rId124" Type="http://schemas.openxmlformats.org/officeDocument/2006/relationships/hyperlink" Target="https://www.ingenierowhite.com/2026/06/11/seguridad-vial-la-actividad-de-unipar-se-reprograma-de-viernes-a-sabado-por-razones-climaticas/" TargetMode="External"/><Relationship Id="rId245" Type="http://schemas.openxmlformats.org/officeDocument/2006/relationships/hyperlink" Target="https://www.ingenierowhite.com/2026/09/21/la-uibb-renovo-parte-de-su-comision-directiva-y-gustavo-elias-continuara-como-presidente/" TargetMode="External"/><Relationship Id="rId123" Type="http://schemas.openxmlformats.org/officeDocument/2006/relationships/hyperlink" Target="https://www.diarioelpaso.com/2026/06/11/competitividad-inversion-y-desarrollo-industrial-ejes-de-la-jornada-petroquimica-2026-del-ipa/" TargetMode="External"/><Relationship Id="rId244" Type="http://schemas.openxmlformats.org/officeDocument/2006/relationships/hyperlink" Target="https://dib.com.ar/sociedad/industriales-bahia-blanca-renuevan-autoridades-y-gustavo-elias-seguira-al-frente-la-uibb-n55902" TargetMode="External"/><Relationship Id="rId122" Type="http://schemas.openxmlformats.org/officeDocument/2006/relationships/hyperlink" Target="https://www.labrujula24.com/notas/2026/06/09/unipar-impulsa-una-jornada-de-concientizacion-por-el-dia-nacional-de-la-seguridad-vial-n504434/" TargetMode="External"/><Relationship Id="rId243" Type="http://schemas.openxmlformats.org/officeDocument/2006/relationships/hyperlink" Target="https://revistaimagen.com/ganadores-edicion-2026-eikon/" TargetMode="External"/><Relationship Id="rId95" Type="http://schemas.openxmlformats.org/officeDocument/2006/relationships/hyperlink" Target="https://ciudadportuaria.com.ar/actualidad/unipar-presento-su-reporte-de-sostenibilidad-2025/" TargetMode="External"/><Relationship Id="rId94" Type="http://schemas.openxmlformats.org/officeDocument/2006/relationships/hyperlink" Target="https://poligono.com.ar/2026/06/01/unipar-presento-su-reporte-de-sostenibilidad-2025/" TargetMode="External"/><Relationship Id="rId97" Type="http://schemas.openxmlformats.org/officeDocument/2006/relationships/hyperlink" Target="https://norteenlinea.com/competitividad-inversion-y-desarrollo-industrial-ejes-de-la-jornada-petroquimica-2026-del-ipa/" TargetMode="External"/><Relationship Id="rId96" Type="http://schemas.openxmlformats.org/officeDocument/2006/relationships/hyperlink" Target="https://impactolocal.com.ar/competitividad-inversion-y-desarrollo-industrial-ejes-de-la-jornada-petroquimica-2026-del-ipa" TargetMode="External"/><Relationship Id="rId99" Type="http://schemas.openxmlformats.org/officeDocument/2006/relationships/hyperlink" Target="https://econojournal.com.ar/2026/06/competitividad-inversion-y-desarrollo-industrial-ejes-de-la-jornada-petroquimica-2026-del-ipa/" TargetMode="External"/><Relationship Id="rId98" Type="http://schemas.openxmlformats.org/officeDocument/2006/relationships/hyperlink" Target="https://sustenomics.com/en-unipar-la-sustentabilidad-no-se-gestiona-como-una-agenda-paralela/" TargetMode="External"/><Relationship Id="rId91" Type="http://schemas.openxmlformats.org/officeDocument/2006/relationships/hyperlink" Target="https://argenports.com/nota/unipar-supero-sus-metas-ambientales-y-destaco-avances-en-bahia-blanca-en-su-reporte-de-sustentabilidad-2025/" TargetMode="External"/><Relationship Id="rId90" Type="http://schemas.openxmlformats.org/officeDocument/2006/relationships/hyperlink" Target="https://covernews.press/competitividad-y-valor-agregado-los-temas-que-marcaran-la-agenda-de-la-jornada-petroquimica-2026-del-ipa/" TargetMode="External"/><Relationship Id="rId93" Type="http://schemas.openxmlformats.org/officeDocument/2006/relationships/hyperlink" Target="https://www.lanueva.com/nota/2026-6-1-16-37-0-unipar-presenta-su-reporte-de-sostenibilidad-2025-con-resultados-que-superan-el-cumplimiento-de-sus-compromisos" TargetMode="External"/><Relationship Id="rId92" Type="http://schemas.openxmlformats.org/officeDocument/2006/relationships/hyperlink" Target="https://futurosustentable.com.ar/unipar-presento-su-reporte-de-sustentabilidad-2025-con-avances-record-en-energia-y-emisiones/" TargetMode="External"/><Relationship Id="rId118" Type="http://schemas.openxmlformats.org/officeDocument/2006/relationships/hyperlink" Target="https://poligono.com.ar/2026/06/08/unipar-impulsa-una-jornada-de-concientizacion-por-el-dia-nacional-de-la-seguridad-vial/" TargetMode="External"/><Relationship Id="rId239" Type="http://schemas.openxmlformats.org/officeDocument/2006/relationships/hyperlink" Target="https://cronicadelnoa.com.ar/2026/09/16/la-industria-petroquimica-argentina-alerta-por-china-y-reclama-bajar-costos/" TargetMode="External"/><Relationship Id="rId117" Type="http://schemas.openxmlformats.org/officeDocument/2006/relationships/hyperlink" Target="https://www.lanueva.com/nota/2026-6-8-16-57-0-unipar-impulsa-una-jornada-de-concientizacion-por-el-dia-nacional-de-la-seguridad-vial" TargetMode="External"/><Relationship Id="rId238" Type="http://schemas.openxmlformats.org/officeDocument/2006/relationships/hyperlink" Target="https://www.iprofesional.com/negocios/464602-industria-petroquimica-argentina-alerta-por-china-y-reclama-bajar-costos" TargetMode="External"/><Relationship Id="rId116" Type="http://schemas.openxmlformats.org/officeDocument/2006/relationships/hyperlink" Target="https://www.ingenierowhite.com/2026/06/08/unipar-impulsa-una-jornada-de-concientizacion-por-el-dia-nacional-de-la-seguridad-vial/?utm_source=dlvr.it&amp;utm_medium=twitter" TargetMode="External"/><Relationship Id="rId237" Type="http://schemas.openxmlformats.org/officeDocument/2006/relationships/hyperlink" Target="https://drive.google.com/file/d/1q1amixdWh3FL24lJR6XZmSJ155P6lbE7/view?usp=sharing" TargetMode="External"/><Relationship Id="rId115" Type="http://schemas.openxmlformats.org/officeDocument/2006/relationships/hyperlink" Target="https://frenteacano.com.ar/unipar-impulsa-una-jornada-de-concientizacion-por-el-dia-nacional-de-la-seguridad-vial/" TargetMode="External"/><Relationship Id="rId236" Type="http://schemas.openxmlformats.org/officeDocument/2006/relationships/hyperlink" Target="https://bahiapolitica.com/el-legado-verde-del-campus-de-la-uns-una-historia-que-va-mas-alla-de-los-arboles/" TargetMode="External"/><Relationship Id="rId119" Type="http://schemas.openxmlformats.org/officeDocument/2006/relationships/hyperlink" Target="https://comunicarseweb.com/unipar-cierra-su-ciclo-estrategico-2025-con-un-79-de-energia-renovable-y-una-reduccion-de-emisiones-del-22/" TargetMode="External"/><Relationship Id="rId110" Type="http://schemas.openxmlformats.org/officeDocument/2006/relationships/hyperlink" Target="https://www.lanueva.com/nota/2026-6-7-4-15-31-sostenibilidad-del-compromiso-a-la-accion-concreta" TargetMode="External"/><Relationship Id="rId231" Type="http://schemas.openxmlformats.org/officeDocument/2006/relationships/hyperlink" Target="https://economiasustentable.com/noticias/bahia-blanca-produce-plastico-a-gran-escala-y-ahora-encuentra-microplasticos-en-su-estuario/" TargetMode="External"/><Relationship Id="rId230" Type="http://schemas.openxmlformats.org/officeDocument/2006/relationships/hyperlink" Target="https://www.elobservador.com/argentina/negocios/la-ia-llega-la-petroquimica-la-industria-que-puede-multiplicar-seis-veces-el-valor-del-gas-n6056697" TargetMode="External"/><Relationship Id="rId114" Type="http://schemas.openxmlformats.org/officeDocument/2006/relationships/hyperlink" Target="https://argenports.com/nota/unipar-realizara-una-jornada-abierta-con-simuladores-de-manejo-por-el-dia-nacional-de-la-seguridad-vial/" TargetMode="External"/><Relationship Id="rId235" Type="http://schemas.openxmlformats.org/officeDocument/2006/relationships/hyperlink" Target="https://www.lanueva.com/nota/2026-9-14-5-0-51-el-legado-verde-del-campus-de-la-uns-una-historia-que-va-mas-alla-de-los-arboles" TargetMode="External"/><Relationship Id="rId113" Type="http://schemas.openxmlformats.org/officeDocument/2006/relationships/hyperlink" Target="https://masindustrias.com.ar/unipar-consolida-su-estrategia-de-sostenibilidad-con-metas-y-resultados-concretos/" TargetMode="External"/><Relationship Id="rId234" Type="http://schemas.openxmlformats.org/officeDocument/2006/relationships/hyperlink" Target="https://www.bnamericas.com/es/noticias/proyecto-de-ia-genera-retorno-triple-para-unipar-en-argentina" TargetMode="External"/><Relationship Id="rId112" Type="http://schemas.openxmlformats.org/officeDocument/2006/relationships/hyperlink" Target="http://mercado.com.ar/protagonistas/unipar-presenta-su-reporte-de-sostenibilidad-2025-con-resultados-que-superan-el-cumplimiento-de-sus-compromisos" TargetMode="External"/><Relationship Id="rId233" Type="http://schemas.openxmlformats.org/officeDocument/2006/relationships/hyperlink" Target="https://nuevoenfoqueurbano.com.ar/ai-project-triples-unipars-return-on-investment-in-argentina-bnamericas/" TargetMode="External"/><Relationship Id="rId111" Type="http://schemas.openxmlformats.org/officeDocument/2006/relationships/hyperlink" Target="https://sentinel.globalnewsgroup.com/ver-noticia?StazM6vp91jmcakWHOBDvG3l6QTNgb3iGvNSS5TlmxQ" TargetMode="External"/><Relationship Id="rId232" Type="http://schemas.openxmlformats.org/officeDocument/2006/relationships/hyperlink" Target="https://sentinel.globalnewsgroup.com/ver-noticia?ZgYkG___czoOY84SCy_IDOxckcqR0T2SIv67X5JA25o" TargetMode="External"/><Relationship Id="rId206" Type="http://schemas.openxmlformats.org/officeDocument/2006/relationships/hyperlink" Target="https://dossierweb.com.ar/la-industria-petroquimica-acelera-su-recuperacion-reduce-importaciones-un-30-y-se-consolida-como-pilar-industrial-del-pais/" TargetMode="External"/><Relationship Id="rId205" Type="http://schemas.openxmlformats.org/officeDocument/2006/relationships/hyperlink" Target="https://dinamicarg.com/puerto-bahia-blanca-eje-del-desarrollo-ia-region/" TargetMode="External"/><Relationship Id="rId204" Type="http://schemas.openxmlformats.org/officeDocument/2006/relationships/hyperlink" Target="https://ciudadinfo.com.ar/la-ciudad-avanza-como-polo-de-inteligencia-artificial-aplicada-a-la-industria-49769" TargetMode="External"/><Relationship Id="rId203" Type="http://schemas.openxmlformats.org/officeDocument/2006/relationships/hyperlink" Target="https://www.cadena3.com/noticia/sociedad/bahia-blanca-se-posiciona-como-referente-en-inteligencia-artificial-con-el-summit-bahia_588022" TargetMode="External"/><Relationship Id="rId209" Type="http://schemas.openxmlformats.org/officeDocument/2006/relationships/hyperlink" Target="https://zonales.com/bahia-blanca-posicionarse-polo-inteligencia-artificial-del-sur-argentino/" TargetMode="External"/><Relationship Id="rId208" Type="http://schemas.openxmlformats.org/officeDocument/2006/relationships/hyperlink" Target="https://diarioelnorte.com.ar/bahia-blanca-impulsa-su-polo-de-inteligencia-artificial/" TargetMode="External"/><Relationship Id="rId207" Type="http://schemas.openxmlformats.org/officeDocument/2006/relationships/hyperlink" Target="https://www.cronista.com/protagonistas/bahia-blanca-entre-la-ciencia-la-industria-y-el-futuro-de-la-inteligencia-artificial/" TargetMode="External"/><Relationship Id="rId202" Type="http://schemas.openxmlformats.org/officeDocument/2006/relationships/hyperlink" Target="https://bahiaproductiva.com/2026/08/27/70-arboles-70-anos/" TargetMode="External"/><Relationship Id="rId201" Type="http://schemas.openxmlformats.org/officeDocument/2006/relationships/hyperlink" Target="https://www.a24.com/actualidad/bahia-blanca-la-ciencia-la-industria-y-el-futuro-la-inteligencia-artificial-n1590427" TargetMode="External"/><Relationship Id="rId200" Type="http://schemas.openxmlformats.org/officeDocument/2006/relationships/hyperlink" Target="https://lu17.com/contenido/144489/bahia-blanca-impulsa-la-inteligencia-artificial-y-proyecta-un-nodo-ia-del-su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800.com" TargetMode="External"/><Relationship Id="rId2" Type="http://schemas.openxmlformats.org/officeDocument/2006/relationships/drawing" Target="../drawings/drawing2.xml"/><Relationship Id="rId5" Type="http://schemas.openxmlformats.org/officeDocument/2006/relationships/table" Target="../tables/table2.xml"/><Relationship Id="rId6"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0"/>
    <col customWidth="1" min="2" max="2" width="25.75"/>
    <col customWidth="1" min="4" max="4" width="14.25"/>
    <col customWidth="1" min="5" max="5" width="16.5"/>
    <col customWidth="1" min="6" max="6" width="42.63"/>
    <col customWidth="1" min="7" max="7" width="15.13"/>
    <col customWidth="1" min="8" max="8" width="17.88"/>
    <col customWidth="1" min="9" max="9" width="15.75"/>
    <col customWidth="1" min="10" max="11" width="24.0"/>
    <col customWidth="1" min="12" max="13" width="19.25"/>
    <col customWidth="1" min="14" max="14" width="26.13"/>
    <col customWidth="1" min="15" max="16" width="15.13"/>
  </cols>
  <sheetData>
    <row r="1" ht="22.5" customHeight="1">
      <c r="A1" s="8" t="s">
        <v>9</v>
      </c>
      <c r="B1" s="9" t="s">
        <v>10</v>
      </c>
      <c r="C1" s="10" t="s">
        <v>11</v>
      </c>
      <c r="D1" s="8" t="s">
        <v>12</v>
      </c>
      <c r="E1" s="11" t="s">
        <v>14</v>
      </c>
      <c r="F1" s="9" t="s">
        <v>15</v>
      </c>
      <c r="G1" s="11" t="s">
        <v>16</v>
      </c>
      <c r="H1" s="8" t="s">
        <v>17</v>
      </c>
      <c r="I1" s="13" t="s">
        <v>18</v>
      </c>
      <c r="J1" s="8" t="s">
        <v>20</v>
      </c>
      <c r="K1" s="15" t="s">
        <v>21</v>
      </c>
      <c r="L1" s="15" t="s">
        <v>23</v>
      </c>
      <c r="M1" s="15" t="s">
        <v>24</v>
      </c>
      <c r="N1" s="15" t="s">
        <v>26</v>
      </c>
      <c r="O1" s="15" t="s">
        <v>27</v>
      </c>
      <c r="P1" s="16" t="s">
        <v>29</v>
      </c>
    </row>
    <row r="2" ht="22.5" customHeight="1">
      <c r="A2" s="19">
        <v>46024.0</v>
      </c>
      <c r="B2" s="20" t="s">
        <v>30</v>
      </c>
      <c r="C2" s="20" t="s">
        <v>31</v>
      </c>
      <c r="D2" s="21" t="s">
        <v>32</v>
      </c>
      <c r="E2" s="21" t="s">
        <v>34</v>
      </c>
      <c r="F2" s="20" t="s">
        <v>35</v>
      </c>
      <c r="G2" s="27" t="s">
        <v>37</v>
      </c>
      <c r="H2" s="30" t="str">
        <f>IF(C2="", "", IFERROR(VLOOKUP(C2, 'Tabla 2'!$A$2:$D$298, 2, FALSE), ""))</f>
        <v>Local BB</v>
      </c>
      <c r="I2" s="34">
        <f>IF(C2="", "", IFERROR(VLOOKUP(C2, 'Tabla 2'!$A$2:$D$298, 3, FALSE), ""))</f>
        <v>1</v>
      </c>
      <c r="J2" s="35">
        <f>IF(C2="", "", IFERROR(VLOOKUP(C2, 'Tabla 2'!$A$2:$D$298, 4, FALSE), ""))</f>
        <v>900000</v>
      </c>
      <c r="K2" s="36" t="s">
        <v>44</v>
      </c>
      <c r="L2" s="37" t="b">
        <v>1</v>
      </c>
      <c r="M2" s="36" t="s">
        <v>46</v>
      </c>
      <c r="N2" s="36" t="s">
        <v>48</v>
      </c>
      <c r="O2" s="38" t="s">
        <v>49</v>
      </c>
      <c r="P2" s="39">
        <v>1.0</v>
      </c>
    </row>
    <row r="3" ht="22.5" customHeight="1">
      <c r="A3" s="19">
        <v>46024.0</v>
      </c>
      <c r="B3" s="20" t="s">
        <v>30</v>
      </c>
      <c r="C3" s="20" t="s">
        <v>56</v>
      </c>
      <c r="D3" s="21" t="s">
        <v>32</v>
      </c>
      <c r="E3" s="21" t="s">
        <v>34</v>
      </c>
      <c r="F3" s="20" t="s">
        <v>58</v>
      </c>
      <c r="G3" s="41" t="s">
        <v>59</v>
      </c>
      <c r="H3" s="30" t="str">
        <f>IF(C3="", "", IFERROR(VLOOKUP(C3, 'Tabla 2'!$A$2:$D$298, 2, FALSE), ""))</f>
        <v>Local BB</v>
      </c>
      <c r="I3" s="34">
        <f>IF(C3="", "", IFERROR(VLOOKUP(C3, 'Tabla 2'!$A$2:$D$298, 3, FALSE), ""))</f>
        <v>1</v>
      </c>
      <c r="J3" s="35">
        <f>IF(C3="", "", IFERROR(VLOOKUP(C3, 'Tabla 2'!$A$2:$D$298, 4, FALSE), ""))</f>
        <v>500000</v>
      </c>
      <c r="K3" s="36" t="s">
        <v>44</v>
      </c>
      <c r="L3" s="37" t="b">
        <v>1</v>
      </c>
      <c r="M3" s="36" t="s">
        <v>46</v>
      </c>
      <c r="N3" s="36" t="s">
        <v>48</v>
      </c>
      <c r="O3" s="38" t="s">
        <v>49</v>
      </c>
      <c r="P3" s="39">
        <v>1.0</v>
      </c>
    </row>
    <row r="4" ht="22.5" customHeight="1">
      <c r="A4" s="19">
        <v>46024.0</v>
      </c>
      <c r="B4" s="20" t="s">
        <v>69</v>
      </c>
      <c r="C4" s="20" t="s">
        <v>70</v>
      </c>
      <c r="D4" s="21" t="s">
        <v>32</v>
      </c>
      <c r="E4" s="21" t="s">
        <v>34</v>
      </c>
      <c r="F4" s="20" t="s">
        <v>71</v>
      </c>
      <c r="G4" s="41" t="s">
        <v>73</v>
      </c>
      <c r="H4" s="30" t="str">
        <f>IF(C4="", "", IFERROR(VLOOKUP(C4, 'Tabla 2'!$A$2:$D$298, 2, FALSE), ""))</f>
        <v>Local BB</v>
      </c>
      <c r="I4" s="34">
        <f>IF(C4="", "", IFERROR(VLOOKUP(C4, 'Tabla 2'!$A$2:$D$298, 3, FALSE), ""))</f>
        <v>1</v>
      </c>
      <c r="J4" s="35">
        <f>IF(C4="", "", IFERROR(VLOOKUP(C4, 'Tabla 2'!$A$2:$D$298, 4, FALSE), ""))</f>
        <v>800000</v>
      </c>
      <c r="K4" s="36" t="s">
        <v>44</v>
      </c>
      <c r="L4" s="37" t="b">
        <v>1</v>
      </c>
      <c r="M4" s="36" t="s">
        <v>46</v>
      </c>
      <c r="N4" s="36" t="s">
        <v>48</v>
      </c>
      <c r="O4" s="38" t="s">
        <v>49</v>
      </c>
      <c r="P4" s="39">
        <v>1.0</v>
      </c>
      <c r="X4" s="46"/>
    </row>
    <row r="5" ht="22.5" customHeight="1">
      <c r="A5" s="19">
        <v>46024.0</v>
      </c>
      <c r="B5" s="20" t="s">
        <v>79</v>
      </c>
      <c r="C5" s="20" t="s">
        <v>80</v>
      </c>
      <c r="D5" s="21" t="s">
        <v>32</v>
      </c>
      <c r="E5" s="21" t="s">
        <v>34</v>
      </c>
      <c r="F5" s="20" t="s">
        <v>82</v>
      </c>
      <c r="G5" s="41" t="s">
        <v>83</v>
      </c>
      <c r="H5" s="30" t="str">
        <f>IF(C5="", "", IFERROR(VLOOKUP(C5, 'Tabla 2'!$A$2:$D$298, 2, FALSE), ""))</f>
        <v>Local BB</v>
      </c>
      <c r="I5" s="34">
        <f>IF(C5="", "", IFERROR(VLOOKUP(C5, 'Tabla 2'!$A$2:$D$298, 3, FALSE), ""))</f>
        <v>1</v>
      </c>
      <c r="J5" s="35">
        <f>IF(C5="", "", IFERROR(VLOOKUP(C5, 'Tabla 2'!$A$2:$D$298, 4, FALSE), ""))</f>
        <v>5000000</v>
      </c>
      <c r="K5" s="36" t="s">
        <v>44</v>
      </c>
      <c r="L5" s="37" t="b">
        <v>1</v>
      </c>
      <c r="M5" s="36" t="s">
        <v>46</v>
      </c>
      <c r="N5" s="36" t="s">
        <v>48</v>
      </c>
      <c r="O5" s="38" t="s">
        <v>49</v>
      </c>
      <c r="P5" s="39">
        <v>1.0</v>
      </c>
      <c r="X5" s="46"/>
    </row>
    <row r="6" ht="22.5" customHeight="1">
      <c r="A6" s="19">
        <v>46024.0</v>
      </c>
      <c r="B6" s="20" t="s">
        <v>90</v>
      </c>
      <c r="C6" s="20" t="s">
        <v>91</v>
      </c>
      <c r="D6" s="21" t="s">
        <v>32</v>
      </c>
      <c r="E6" s="21" t="s">
        <v>34</v>
      </c>
      <c r="F6" s="20" t="s">
        <v>92</v>
      </c>
      <c r="G6" s="41" t="s">
        <v>93</v>
      </c>
      <c r="H6" s="30" t="str">
        <f>IF(C6="", "", IFERROR(VLOOKUP(C6, 'Tabla 2'!$A$2:$D$298, 2, FALSE), ""))</f>
        <v>Local BB</v>
      </c>
      <c r="I6" s="34">
        <f>IF(C6="", "", IFERROR(VLOOKUP(C6, 'Tabla 2'!$A$2:$D$298, 3, FALSE), ""))</f>
        <v>3</v>
      </c>
      <c r="J6" s="35">
        <f>IF(C6="", "", IFERROR(VLOOKUP(C6, 'Tabla 2'!$A$2:$D$298, 4, FALSE), ""))</f>
        <v>0</v>
      </c>
      <c r="K6" s="36" t="s">
        <v>44</v>
      </c>
      <c r="L6" s="37" t="b">
        <v>1</v>
      </c>
      <c r="M6" s="36" t="s">
        <v>46</v>
      </c>
      <c r="N6" s="36" t="s">
        <v>48</v>
      </c>
      <c r="O6" s="38" t="s">
        <v>49</v>
      </c>
      <c r="P6" s="39">
        <v>1.0</v>
      </c>
      <c r="X6" s="47"/>
    </row>
    <row r="7" ht="22.5" customHeight="1">
      <c r="A7" s="19">
        <v>46024.0</v>
      </c>
      <c r="B7" s="20" t="s">
        <v>98</v>
      </c>
      <c r="C7" s="20" t="s">
        <v>99</v>
      </c>
      <c r="D7" s="21" t="s">
        <v>32</v>
      </c>
      <c r="E7" s="21" t="s">
        <v>34</v>
      </c>
      <c r="F7" s="20" t="s">
        <v>100</v>
      </c>
      <c r="G7" s="41" t="s">
        <v>101</v>
      </c>
      <c r="H7" s="30" t="str">
        <f>IF(C7="", "", IFERROR(VLOOKUP(C7, 'Tabla 2'!$A$2:$D$298, 2, FALSE), ""))</f>
        <v>Local BB</v>
      </c>
      <c r="I7" s="34">
        <f>IF(C7="", "", IFERROR(VLOOKUP(C7, 'Tabla 2'!$A$2:$D$298, 3, FALSE), ""))</f>
        <v>2</v>
      </c>
      <c r="J7" s="35">
        <f>IF(C7="", "", IFERROR(VLOOKUP(C7, 'Tabla 2'!$A$2:$D$298, 4, FALSE), ""))</f>
        <v>0</v>
      </c>
      <c r="K7" s="36" t="s">
        <v>44</v>
      </c>
      <c r="L7" s="37" t="b">
        <v>1</v>
      </c>
      <c r="M7" s="36" t="s">
        <v>46</v>
      </c>
      <c r="N7" s="36" t="s">
        <v>48</v>
      </c>
      <c r="O7" s="38" t="s">
        <v>49</v>
      </c>
      <c r="P7" s="39">
        <v>1.0</v>
      </c>
    </row>
    <row r="8" ht="22.5" customHeight="1">
      <c r="A8" s="19">
        <v>46024.0</v>
      </c>
      <c r="B8" s="20" t="s">
        <v>30</v>
      </c>
      <c r="C8" s="20" t="s">
        <v>106</v>
      </c>
      <c r="D8" s="21" t="s">
        <v>32</v>
      </c>
      <c r="E8" s="21" t="s">
        <v>34</v>
      </c>
      <c r="F8" s="20" t="s">
        <v>35</v>
      </c>
      <c r="G8" s="41" t="s">
        <v>107</v>
      </c>
      <c r="H8" s="30" t="str">
        <f>IF(C8="", "", IFERROR(VLOOKUP(C8, 'Tabla 2'!$A$2:$D$298, 2, FALSE), ""))</f>
        <v>Generalista Nacional</v>
      </c>
      <c r="I8" s="34">
        <f>IF(C8="", "", IFERROR(VLOOKUP(C8, 'Tabla 2'!$A$2:$D$298, 3, FALSE), ""))</f>
        <v>3</v>
      </c>
      <c r="J8" s="35">
        <f>IF(C8="", "", IFERROR(VLOOKUP(C8, 'Tabla 2'!$A$2:$D$298, 4, FALSE), ""))</f>
        <v>0</v>
      </c>
      <c r="K8" s="36" t="s">
        <v>44</v>
      </c>
      <c r="L8" s="37" t="b">
        <v>1</v>
      </c>
      <c r="M8" s="36" t="s">
        <v>46</v>
      </c>
      <c r="N8" s="36" t="s">
        <v>48</v>
      </c>
      <c r="O8" s="38" t="s">
        <v>49</v>
      </c>
      <c r="P8" s="39">
        <v>1.0</v>
      </c>
    </row>
    <row r="9" ht="22.5" customHeight="1">
      <c r="A9" s="19">
        <v>46024.0</v>
      </c>
      <c r="B9" s="20" t="s">
        <v>112</v>
      </c>
      <c r="C9" s="20" t="s">
        <v>113</v>
      </c>
      <c r="D9" s="21" t="s">
        <v>32</v>
      </c>
      <c r="E9" s="21" t="s">
        <v>34</v>
      </c>
      <c r="F9" s="20" t="s">
        <v>100</v>
      </c>
      <c r="G9" s="41" t="s">
        <v>114</v>
      </c>
      <c r="H9" s="30" t="str">
        <f>IF(C9="", "", IFERROR(VLOOKUP(C9, 'Tabla 2'!$A$2:$D$298, 2, FALSE), ""))</f>
        <v>Generalista Nacional</v>
      </c>
      <c r="I9" s="34">
        <f>IF(C9="", "", IFERROR(VLOOKUP(C9, 'Tabla 2'!$A$2:$D$298, 3, FALSE), ""))</f>
        <v>3</v>
      </c>
      <c r="J9" s="35">
        <f>IF(C9="", "", IFERROR(VLOOKUP(C9, 'Tabla 2'!$A$2:$D$298, 4, FALSE), ""))</f>
        <v>0</v>
      </c>
      <c r="K9" s="36" t="s">
        <v>44</v>
      </c>
      <c r="L9" s="37" t="b">
        <v>1</v>
      </c>
      <c r="M9" s="36" t="s">
        <v>46</v>
      </c>
      <c r="N9" s="36" t="s">
        <v>48</v>
      </c>
      <c r="O9" s="38" t="s">
        <v>49</v>
      </c>
      <c r="P9" s="39">
        <v>1.0</v>
      </c>
    </row>
    <row r="10" ht="22.5" customHeight="1">
      <c r="A10" s="19">
        <v>46024.0</v>
      </c>
      <c r="B10" s="20" t="s">
        <v>119</v>
      </c>
      <c r="C10" s="20" t="s">
        <v>120</v>
      </c>
      <c r="D10" s="21" t="s">
        <v>32</v>
      </c>
      <c r="E10" s="48" t="str">
        <f t="shared" ref="E10:E11" si="1">IF(OR(D10="Espontánea", D10="Reactiva"), "Orgánica", "")</f>
        <v>Orgánica</v>
      </c>
      <c r="F10" s="20" t="s">
        <v>123</v>
      </c>
      <c r="G10" s="41" t="s">
        <v>124</v>
      </c>
      <c r="H10" s="30" t="str">
        <f>IF(C10="", "", IFERROR(VLOOKUP(C10, 'Tabla 2'!$A$2:$D$298, 2, FALSE), ""))</f>
        <v>Local BB</v>
      </c>
      <c r="I10" s="34">
        <f>IF(C10="", "", IFERROR(VLOOKUP(C10, 'Tabla 2'!$A$2:$D$298, 3, FALSE), ""))</f>
        <v>3</v>
      </c>
      <c r="J10" s="35">
        <f>IF(C10="", "", IFERROR(VLOOKUP(C10, 'Tabla 2'!$A$2:$D$298, 4, FALSE), ""))</f>
        <v>0</v>
      </c>
      <c r="K10" s="36" t="s">
        <v>44</v>
      </c>
      <c r="L10" s="49" t="b">
        <v>1</v>
      </c>
      <c r="M10" s="36" t="s">
        <v>128</v>
      </c>
      <c r="N10" s="36" t="s">
        <v>129</v>
      </c>
      <c r="O10" s="38" t="s">
        <v>49</v>
      </c>
      <c r="P10" s="39">
        <v>1.0</v>
      </c>
    </row>
    <row r="11" ht="22.5" customHeight="1">
      <c r="A11" s="19">
        <v>46024.0</v>
      </c>
      <c r="B11" s="20" t="s">
        <v>131</v>
      </c>
      <c r="C11" s="20" t="s">
        <v>120</v>
      </c>
      <c r="D11" s="21" t="s">
        <v>32</v>
      </c>
      <c r="E11" s="48" t="str">
        <f t="shared" si="1"/>
        <v>Orgánica</v>
      </c>
      <c r="F11" s="20" t="s">
        <v>133</v>
      </c>
      <c r="G11" s="41" t="s">
        <v>134</v>
      </c>
      <c r="H11" s="30" t="str">
        <f>IF(C11="", "", IFERROR(VLOOKUP(C11, 'Tabla 2'!$A$2:$D$298, 2, FALSE), ""))</f>
        <v>Local BB</v>
      </c>
      <c r="I11" s="34">
        <f>IF(C11="", "", IFERROR(VLOOKUP(C11, 'Tabla 2'!$A$2:$D$298, 3, FALSE), ""))</f>
        <v>3</v>
      </c>
      <c r="J11" s="35">
        <f>IF(C11="", "", IFERROR(VLOOKUP(C11, 'Tabla 2'!$A$2:$D$298, 4, FALSE), ""))</f>
        <v>0</v>
      </c>
      <c r="K11" s="36" t="s">
        <v>44</v>
      </c>
      <c r="L11" s="37" t="b">
        <v>1</v>
      </c>
      <c r="M11" s="36" t="s">
        <v>46</v>
      </c>
      <c r="N11" s="36" t="s">
        <v>48</v>
      </c>
      <c r="O11" s="38" t="s">
        <v>49</v>
      </c>
      <c r="P11" s="39">
        <v>1.0</v>
      </c>
    </row>
    <row r="12" ht="22.5" customHeight="1">
      <c r="A12" s="19">
        <v>46027.0</v>
      </c>
      <c r="B12" s="20" t="s">
        <v>139</v>
      </c>
      <c r="C12" s="20" t="s">
        <v>75</v>
      </c>
      <c r="D12" s="21" t="s">
        <v>140</v>
      </c>
      <c r="E12" s="21" t="s">
        <v>34</v>
      </c>
      <c r="F12" s="20" t="s">
        <v>142</v>
      </c>
      <c r="G12" s="41" t="s">
        <v>143</v>
      </c>
      <c r="H12" s="30" t="str">
        <f>IF(C12="", "", IFERROR(VLOOKUP(C12, 'Tabla 2'!$A$2:$D$298, 2, FALSE), ""))</f>
        <v>Sustentabilidad Nacional</v>
      </c>
      <c r="I12" s="34">
        <f>IF(C12="", "", IFERROR(VLOOKUP(C12, 'Tabla 2'!$A$2:$D$298, 3, FALSE), ""))</f>
        <v>1</v>
      </c>
      <c r="J12" s="35">
        <f>IF(C12="", "", IFERROR(VLOOKUP(C12, 'Tabla 2'!$A$2:$D$298, 4, FALSE), ""))</f>
        <v>600000</v>
      </c>
      <c r="K12" s="36" t="s">
        <v>44</v>
      </c>
      <c r="L12" s="37" t="b">
        <v>1</v>
      </c>
      <c r="M12" s="36" t="s">
        <v>46</v>
      </c>
      <c r="N12" s="36" t="s">
        <v>48</v>
      </c>
      <c r="O12" s="38" t="s">
        <v>49</v>
      </c>
      <c r="P12" s="39">
        <v>1.0</v>
      </c>
    </row>
    <row r="13" ht="22.5" customHeight="1">
      <c r="A13" s="19">
        <v>46028.0</v>
      </c>
      <c r="B13" s="20" t="s">
        <v>148</v>
      </c>
      <c r="C13" s="20" t="s">
        <v>149</v>
      </c>
      <c r="D13" s="21" t="s">
        <v>32</v>
      </c>
      <c r="E13" s="21" t="s">
        <v>34</v>
      </c>
      <c r="F13" s="20" t="s">
        <v>151</v>
      </c>
      <c r="G13" s="41" t="s">
        <v>152</v>
      </c>
      <c r="H13" s="30" t="str">
        <f>IF(C13="", "", IFERROR(VLOOKUP(C13, 'Tabla 2'!$A$2:$D$298, 2, FALSE), ""))</f>
        <v>Local BB</v>
      </c>
      <c r="I13" s="34">
        <f>IF(C13="", "", IFERROR(VLOOKUP(C13, 'Tabla 2'!$A$2:$D$298, 3, FALSE), ""))</f>
        <v>3</v>
      </c>
      <c r="J13" s="35">
        <f>IF(C13="", "", IFERROR(VLOOKUP(C13, 'Tabla 2'!$A$2:$D$298, 4, FALSE), ""))</f>
        <v>0</v>
      </c>
      <c r="K13" s="36" t="s">
        <v>44</v>
      </c>
      <c r="L13" s="13" t="b">
        <v>0</v>
      </c>
      <c r="M13" s="36" t="s">
        <v>155</v>
      </c>
      <c r="N13" s="36" t="s">
        <v>158</v>
      </c>
      <c r="O13" s="38" t="s">
        <v>49</v>
      </c>
      <c r="P13" s="39">
        <v>1.0</v>
      </c>
    </row>
    <row r="14" ht="22.5" customHeight="1">
      <c r="A14" s="19">
        <v>46059.0</v>
      </c>
      <c r="B14" s="20" t="s">
        <v>160</v>
      </c>
      <c r="C14" s="20" t="s">
        <v>161</v>
      </c>
      <c r="D14" s="21" t="s">
        <v>32</v>
      </c>
      <c r="E14" s="48" t="str">
        <f>IF(OR(D14="Espontánea", D14="Reactiva"), "Orgánica", "")</f>
        <v>Orgánica</v>
      </c>
      <c r="F14" s="20" t="s">
        <v>163</v>
      </c>
      <c r="G14" s="41" t="s">
        <v>164</v>
      </c>
      <c r="H14" s="30" t="str">
        <f>IF(C14="", "", IFERROR(VLOOKUP(C14, 'Tabla 2'!$A$2:$D$298, 2, FALSE), ""))</f>
        <v>Sustentabilidad Nacional</v>
      </c>
      <c r="I14" s="34">
        <f>IF(C14="", "", IFERROR(VLOOKUP(C14, 'Tabla 2'!$A$2:$D$298, 3, FALSE), ""))</f>
        <v>3</v>
      </c>
      <c r="J14" s="35">
        <f>IF(C14="", "", IFERROR(VLOOKUP(C14, 'Tabla 2'!$A$2:$D$298, 4, FALSE), ""))</f>
        <v>0</v>
      </c>
      <c r="K14" s="21" t="s">
        <v>44</v>
      </c>
      <c r="L14" s="37" t="b">
        <v>1</v>
      </c>
      <c r="M14" s="21" t="s">
        <v>46</v>
      </c>
      <c r="N14" s="21" t="s">
        <v>167</v>
      </c>
      <c r="O14" s="50" t="s">
        <v>49</v>
      </c>
      <c r="P14" s="51">
        <v>1.0</v>
      </c>
    </row>
    <row r="15" ht="22.5" customHeight="1">
      <c r="A15" s="19">
        <v>46059.0</v>
      </c>
      <c r="B15" s="20" t="s">
        <v>169</v>
      </c>
      <c r="C15" s="20" t="s">
        <v>77</v>
      </c>
      <c r="D15" s="21" t="s">
        <v>32</v>
      </c>
      <c r="E15" s="21" t="s">
        <v>34</v>
      </c>
      <c r="F15" s="20" t="s">
        <v>170</v>
      </c>
      <c r="G15" s="52" t="s">
        <v>172</v>
      </c>
      <c r="H15" s="30" t="str">
        <f>IF(C15="", "", IFERROR(VLOOKUP(C15, 'Tabla 2'!$A$2:$D$298, 2, FALSE), ""))</f>
        <v>Sustentabilidad Nacional</v>
      </c>
      <c r="I15" s="34">
        <f>IF(C15="", "", IFERROR(VLOOKUP(C15, 'Tabla 2'!$A$2:$D$298, 3, FALSE), ""))</f>
        <v>1</v>
      </c>
      <c r="J15" s="35">
        <f>IF(C15="", "", IFERROR(VLOOKUP(C15, 'Tabla 2'!$A$2:$D$298, 4, FALSE), ""))</f>
        <v>700000</v>
      </c>
      <c r="K15" s="21" t="s">
        <v>44</v>
      </c>
      <c r="L15" s="37" t="b">
        <v>1</v>
      </c>
      <c r="M15" s="21" t="s">
        <v>46</v>
      </c>
      <c r="N15" s="21" t="s">
        <v>167</v>
      </c>
      <c r="O15" s="50" t="s">
        <v>49</v>
      </c>
      <c r="P15" s="51">
        <v>1.0</v>
      </c>
    </row>
    <row r="16" ht="22.5" customHeight="1">
      <c r="A16" s="19">
        <v>46062.0</v>
      </c>
      <c r="B16" s="20" t="s">
        <v>177</v>
      </c>
      <c r="C16" s="20" t="s">
        <v>61</v>
      </c>
      <c r="D16" s="21" t="s">
        <v>140</v>
      </c>
      <c r="E16" s="21" t="s">
        <v>34</v>
      </c>
      <c r="F16" s="20" t="s">
        <v>179</v>
      </c>
      <c r="G16" s="41" t="s">
        <v>180</v>
      </c>
      <c r="H16" s="30" t="str">
        <f>IF(C16="", "", IFERROR(VLOOKUP(C16, 'Tabla 2'!$A$2:$D$298, 2, FALSE), ""))</f>
        <v>Negocio Nacional</v>
      </c>
      <c r="I16" s="34">
        <f>IF(C16="", "", IFERROR(VLOOKUP(C16, 'Tabla 2'!$A$2:$D$298, 3, FALSE), ""))</f>
        <v>1</v>
      </c>
      <c r="J16" s="35">
        <f>IF(C16="", "", IFERROR(VLOOKUP(C16, 'Tabla 2'!$A$2:$D$298, 4, FALSE), ""))</f>
        <v>500000</v>
      </c>
      <c r="K16" s="21" t="s">
        <v>44</v>
      </c>
      <c r="L16" s="37" t="b">
        <v>1</v>
      </c>
      <c r="M16" s="21" t="s">
        <v>155</v>
      </c>
      <c r="N16" s="21" t="s">
        <v>184</v>
      </c>
      <c r="O16" s="50" t="s">
        <v>40</v>
      </c>
      <c r="P16" s="51">
        <v>1.0</v>
      </c>
    </row>
    <row r="17" ht="22.5" customHeight="1">
      <c r="A17" s="19">
        <v>46064.0</v>
      </c>
      <c r="B17" s="20" t="s">
        <v>187</v>
      </c>
      <c r="C17" s="20" t="s">
        <v>188</v>
      </c>
      <c r="D17" s="21" t="s">
        <v>140</v>
      </c>
      <c r="E17" s="21" t="s">
        <v>34</v>
      </c>
      <c r="F17" s="20" t="s">
        <v>189</v>
      </c>
      <c r="G17" s="41" t="s">
        <v>190</v>
      </c>
      <c r="H17" s="30" t="str">
        <f>IF(C17="", "", IFERROR(VLOOKUP(C17, 'Tabla 2'!$A$2:$D$298, 2, FALSE), ""))</f>
        <v>Generalista Nacional</v>
      </c>
      <c r="I17" s="34">
        <f>IF(C17="", "", IFERROR(VLOOKUP(C17, 'Tabla 2'!$A$2:$D$298, 3, FALSE), ""))</f>
        <v>3</v>
      </c>
      <c r="J17" s="35">
        <f>IF(C17="", "", IFERROR(VLOOKUP(C17, 'Tabla 2'!$A$2:$D$298, 4, FALSE), ""))</f>
        <v>0</v>
      </c>
      <c r="K17" s="21" t="s">
        <v>44</v>
      </c>
      <c r="L17" s="37" t="b">
        <v>1</v>
      </c>
      <c r="M17" s="21" t="s">
        <v>46</v>
      </c>
      <c r="N17" s="21" t="s">
        <v>167</v>
      </c>
      <c r="O17" s="50" t="s">
        <v>49</v>
      </c>
      <c r="P17" s="51">
        <v>1.0</v>
      </c>
    </row>
    <row r="18" ht="22.5" customHeight="1">
      <c r="A18" s="19">
        <v>46064.0</v>
      </c>
      <c r="B18" s="20" t="s">
        <v>195</v>
      </c>
      <c r="C18" s="20" t="s">
        <v>188</v>
      </c>
      <c r="D18" s="21" t="s">
        <v>140</v>
      </c>
      <c r="E18" s="21" t="s">
        <v>34</v>
      </c>
      <c r="F18" s="20" t="s">
        <v>196</v>
      </c>
      <c r="G18" s="41" t="s">
        <v>197</v>
      </c>
      <c r="H18" s="30" t="str">
        <f>IF(C18="", "", IFERROR(VLOOKUP(C18, 'Tabla 2'!$A$2:$D$298, 2, FALSE), ""))</f>
        <v>Generalista Nacional</v>
      </c>
      <c r="I18" s="34">
        <f>IF(C18="", "", IFERROR(VLOOKUP(C18, 'Tabla 2'!$A$2:$D$298, 3, FALSE), ""))</f>
        <v>3</v>
      </c>
      <c r="J18" s="35">
        <f>IF(C18="", "", IFERROR(VLOOKUP(C18, 'Tabla 2'!$A$2:$D$298, 4, FALSE), ""))</f>
        <v>0</v>
      </c>
      <c r="K18" s="21" t="s">
        <v>44</v>
      </c>
      <c r="L18" s="13" t="b">
        <v>0</v>
      </c>
      <c r="M18" s="21" t="s">
        <v>155</v>
      </c>
      <c r="N18" s="21" t="s">
        <v>158</v>
      </c>
      <c r="O18" s="50" t="s">
        <v>49</v>
      </c>
      <c r="P18" s="51">
        <v>1.0</v>
      </c>
    </row>
    <row r="19" ht="22.5" customHeight="1">
      <c r="A19" s="19">
        <v>46065.0</v>
      </c>
      <c r="B19" s="20" t="s">
        <v>201</v>
      </c>
      <c r="C19" s="20" t="s">
        <v>91</v>
      </c>
      <c r="D19" s="21" t="s">
        <v>32</v>
      </c>
      <c r="E19" s="48" t="str">
        <f t="shared" ref="E19:E21" si="2">IF(OR(D19="Espontánea", D19="Reactiva"), "Orgánica", "")</f>
        <v>Orgánica</v>
      </c>
      <c r="F19" s="20" t="s">
        <v>203</v>
      </c>
      <c r="G19" s="41" t="s">
        <v>204</v>
      </c>
      <c r="H19" s="30" t="str">
        <f>IF(C19="", "", IFERROR(VLOOKUP(C19, 'Tabla 2'!$A$2:$D$298, 2, FALSE), ""))</f>
        <v>Local BB</v>
      </c>
      <c r="I19" s="34">
        <f>IF(C19="", "", IFERROR(VLOOKUP(C19, 'Tabla 2'!$A$2:$D$298, 3, FALSE), ""))</f>
        <v>3</v>
      </c>
      <c r="J19" s="35">
        <f>IF(C19="", "", IFERROR(VLOOKUP(C19, 'Tabla 2'!$A$2:$D$298, 4, FALSE), ""))</f>
        <v>0</v>
      </c>
      <c r="K19" s="21" t="s">
        <v>44</v>
      </c>
      <c r="L19" s="37"/>
      <c r="M19" s="21" t="s">
        <v>46</v>
      </c>
      <c r="N19" s="21" t="s">
        <v>48</v>
      </c>
      <c r="O19" s="50" t="s">
        <v>49</v>
      </c>
      <c r="P19" s="51">
        <v>1.0</v>
      </c>
    </row>
    <row r="20" ht="22.5" customHeight="1">
      <c r="A20" s="19">
        <v>46065.0</v>
      </c>
      <c r="B20" s="20" t="s">
        <v>210</v>
      </c>
      <c r="C20" s="20" t="s">
        <v>70</v>
      </c>
      <c r="D20" s="21" t="s">
        <v>32</v>
      </c>
      <c r="E20" s="48" t="str">
        <f t="shared" si="2"/>
        <v>Orgánica</v>
      </c>
      <c r="F20" s="20" t="s">
        <v>211</v>
      </c>
      <c r="G20" s="41" t="s">
        <v>212</v>
      </c>
      <c r="H20" s="30" t="str">
        <f>IF(C20="", "", IFERROR(VLOOKUP(C20, 'Tabla 2'!$A$2:$D$298, 2, FALSE), ""))</f>
        <v>Local BB</v>
      </c>
      <c r="I20" s="34">
        <f>IF(C20="", "", IFERROR(VLOOKUP(C20, 'Tabla 2'!$A$2:$D$298, 3, FALSE), ""))</f>
        <v>1</v>
      </c>
      <c r="J20" s="35">
        <f>IF(C20="", "", IFERROR(VLOOKUP(C20, 'Tabla 2'!$A$2:$D$298, 4, FALSE), ""))</f>
        <v>800000</v>
      </c>
      <c r="K20" s="21" t="s">
        <v>44</v>
      </c>
      <c r="L20" s="49" t="b">
        <v>0</v>
      </c>
      <c r="M20" s="21" t="s">
        <v>46</v>
      </c>
      <c r="N20" s="21" t="s">
        <v>48</v>
      </c>
      <c r="O20" s="50" t="s">
        <v>49</v>
      </c>
      <c r="P20" s="51">
        <v>1.0</v>
      </c>
    </row>
    <row r="21" ht="22.5" customHeight="1">
      <c r="A21" s="19">
        <v>46065.0</v>
      </c>
      <c r="B21" s="20" t="s">
        <v>218</v>
      </c>
      <c r="C21" s="20" t="s">
        <v>56</v>
      </c>
      <c r="D21" s="21" t="s">
        <v>32</v>
      </c>
      <c r="E21" s="48" t="str">
        <f t="shared" si="2"/>
        <v>Orgánica</v>
      </c>
      <c r="F21" s="20" t="s">
        <v>219</v>
      </c>
      <c r="G21" s="41" t="s">
        <v>221</v>
      </c>
      <c r="H21" s="30" t="str">
        <f>IF(C21="", "", IFERROR(VLOOKUP(C21, 'Tabla 2'!$A$2:$D$298, 2, FALSE), ""))</f>
        <v>Local BB</v>
      </c>
      <c r="I21" s="34">
        <f>IF(C21="", "", IFERROR(VLOOKUP(C21, 'Tabla 2'!$A$2:$D$298, 3, FALSE), ""))</f>
        <v>1</v>
      </c>
      <c r="J21" s="35">
        <f>IF(C21="", "", IFERROR(VLOOKUP(C21, 'Tabla 2'!$A$2:$D$298, 4, FALSE), ""))</f>
        <v>500000</v>
      </c>
      <c r="K21" s="21" t="s">
        <v>44</v>
      </c>
      <c r="L21" s="37"/>
      <c r="M21" s="21" t="s">
        <v>46</v>
      </c>
      <c r="N21" s="21" t="s">
        <v>48</v>
      </c>
      <c r="O21" s="50" t="s">
        <v>49</v>
      </c>
      <c r="P21" s="51">
        <v>1.0</v>
      </c>
    </row>
    <row r="22" ht="22.5" customHeight="1">
      <c r="A22" s="19">
        <v>46065.0</v>
      </c>
      <c r="B22" s="20" t="s">
        <v>226</v>
      </c>
      <c r="C22" s="20" t="s">
        <v>77</v>
      </c>
      <c r="D22" s="21" t="s">
        <v>32</v>
      </c>
      <c r="E22" s="48" t="str">
        <f t="shared" ref="E22:E29" si="3">IF(D22&lt;&gt;"","Orgánica","")</f>
        <v>Orgánica</v>
      </c>
      <c r="F22" s="20" t="s">
        <v>228</v>
      </c>
      <c r="G22" s="41" t="s">
        <v>229</v>
      </c>
      <c r="H22" s="30" t="str">
        <f>IF(C22="", "", IFERROR(VLOOKUP(C22, 'Tabla 2'!$A$2:$D$298, 2, FALSE), ""))</f>
        <v>Sustentabilidad Nacional</v>
      </c>
      <c r="I22" s="34">
        <f>IF(C22="", "", IFERROR(VLOOKUP(C22, 'Tabla 2'!$A$2:$D$298, 3, FALSE), ""))</f>
        <v>1</v>
      </c>
      <c r="J22" s="35">
        <f>IF(C22="", "", IFERROR(VLOOKUP(C22, 'Tabla 2'!$A$2:$D$298, 4, FALSE), ""))</f>
        <v>700000</v>
      </c>
      <c r="K22" s="21" t="s">
        <v>44</v>
      </c>
      <c r="L22" s="37" t="b">
        <v>1</v>
      </c>
      <c r="M22" s="21" t="s">
        <v>46</v>
      </c>
      <c r="N22" s="21" t="s">
        <v>167</v>
      </c>
      <c r="O22" s="50" t="s">
        <v>49</v>
      </c>
      <c r="P22" s="51">
        <v>1.0</v>
      </c>
    </row>
    <row r="23" ht="22.5" customHeight="1">
      <c r="A23" s="19">
        <v>46068.0</v>
      </c>
      <c r="B23" s="20" t="s">
        <v>236</v>
      </c>
      <c r="C23" s="20" t="s">
        <v>61</v>
      </c>
      <c r="D23" s="21" t="s">
        <v>140</v>
      </c>
      <c r="E23" s="48" t="str">
        <f t="shared" si="3"/>
        <v>Orgánica</v>
      </c>
      <c r="F23" s="20" t="s">
        <v>237</v>
      </c>
      <c r="G23" s="41" t="s">
        <v>238</v>
      </c>
      <c r="H23" s="30" t="str">
        <f>IF(C23="", "", IFERROR(VLOOKUP(C23, 'Tabla 2'!$A$2:$D$298, 2, FALSE), ""))</f>
        <v>Negocio Nacional</v>
      </c>
      <c r="I23" s="34">
        <f>IF(C23="", "", IFERROR(VLOOKUP(C23, 'Tabla 2'!$A$2:$D$298, 3, FALSE), ""))</f>
        <v>1</v>
      </c>
      <c r="J23" s="35">
        <f>IF(C23="", "", IFERROR(VLOOKUP(C23, 'Tabla 2'!$A$2:$D$298, 4, FALSE), ""))</f>
        <v>500000</v>
      </c>
      <c r="K23" s="21" t="s">
        <v>44</v>
      </c>
      <c r="L23" s="37" t="b">
        <v>1</v>
      </c>
      <c r="M23" s="21" t="s">
        <v>46</v>
      </c>
      <c r="N23" s="21" t="s">
        <v>167</v>
      </c>
      <c r="O23" s="50" t="s">
        <v>40</v>
      </c>
      <c r="P23" s="51">
        <v>1.0</v>
      </c>
    </row>
    <row r="24" ht="22.5" customHeight="1">
      <c r="A24" s="19">
        <v>46075.0</v>
      </c>
      <c r="B24" s="20" t="s">
        <v>243</v>
      </c>
      <c r="C24" s="20" t="s">
        <v>31</v>
      </c>
      <c r="D24" s="21" t="s">
        <v>32</v>
      </c>
      <c r="E24" s="48" t="str">
        <f t="shared" si="3"/>
        <v>Orgánica</v>
      </c>
      <c r="F24" s="20" t="s">
        <v>245</v>
      </c>
      <c r="G24" s="41" t="s">
        <v>246</v>
      </c>
      <c r="H24" s="30" t="str">
        <f>IF(C24="", "", IFERROR(VLOOKUP(C24, 'Tabla 2'!$A$2:$D$298, 2, FALSE), ""))</f>
        <v>Local BB</v>
      </c>
      <c r="I24" s="34">
        <f>IF(C24="", "", IFERROR(VLOOKUP(C24, 'Tabla 2'!$A$2:$D$298, 3, FALSE), ""))</f>
        <v>1</v>
      </c>
      <c r="J24" s="35">
        <f>IF(C24="", "", IFERROR(VLOOKUP(C24, 'Tabla 2'!$A$2:$D$298, 4, FALSE), ""))</f>
        <v>900000</v>
      </c>
      <c r="K24" s="21" t="s">
        <v>44</v>
      </c>
      <c r="L24" s="37"/>
      <c r="M24" s="21" t="s">
        <v>46</v>
      </c>
      <c r="N24" s="21" t="s">
        <v>48</v>
      </c>
      <c r="O24" s="50" t="s">
        <v>49</v>
      </c>
      <c r="P24" s="51">
        <v>1.0</v>
      </c>
    </row>
    <row r="25" ht="22.5" customHeight="1">
      <c r="A25" s="19">
        <v>46075.0</v>
      </c>
      <c r="B25" s="20" t="s">
        <v>243</v>
      </c>
      <c r="C25" s="20" t="s">
        <v>31</v>
      </c>
      <c r="D25" s="21" t="s">
        <v>32</v>
      </c>
      <c r="E25" s="48" t="str">
        <f t="shared" si="3"/>
        <v>Orgánica</v>
      </c>
      <c r="F25" s="20" t="s">
        <v>252</v>
      </c>
      <c r="G25" s="41" t="s">
        <v>253</v>
      </c>
      <c r="H25" s="50" t="s">
        <v>88</v>
      </c>
      <c r="I25" s="13">
        <v>1.0</v>
      </c>
      <c r="J25" s="55">
        <v>900000.0</v>
      </c>
      <c r="K25" s="21" t="s">
        <v>44</v>
      </c>
      <c r="L25" s="37"/>
      <c r="M25" s="21" t="s">
        <v>46</v>
      </c>
      <c r="N25" s="21" t="s">
        <v>48</v>
      </c>
      <c r="O25" s="50" t="s">
        <v>49</v>
      </c>
      <c r="P25" s="51">
        <v>1.0</v>
      </c>
    </row>
    <row r="26" ht="22.5" customHeight="1">
      <c r="A26" s="19">
        <v>46077.0</v>
      </c>
      <c r="B26" s="20" t="s">
        <v>258</v>
      </c>
      <c r="C26" s="20" t="s">
        <v>183</v>
      </c>
      <c r="D26" s="21" t="s">
        <v>140</v>
      </c>
      <c r="E26" s="48" t="str">
        <f t="shared" si="3"/>
        <v>Orgánica</v>
      </c>
      <c r="F26" s="20" t="s">
        <v>260</v>
      </c>
      <c r="G26" s="41" t="s">
        <v>261</v>
      </c>
      <c r="H26" s="30" t="str">
        <f>IF(C26="", "", IFERROR(VLOOKUP(C26, 'Tabla 2'!$A$2:$D$298, 2, FALSE), ""))</f>
        <v>Generalista Nacional</v>
      </c>
      <c r="I26" s="34">
        <f>IF(C26="", "", IFERROR(VLOOKUP(C26, 'Tabla 2'!$A$2:$D$298, 3, FALSE), ""))</f>
        <v>3</v>
      </c>
      <c r="J26" s="35">
        <f>IF(C26="", "", IFERROR(VLOOKUP(C26, 'Tabla 2'!$A$2:$D$298, 4, FALSE), ""))</f>
        <v>0</v>
      </c>
      <c r="K26" s="21" t="s">
        <v>44</v>
      </c>
      <c r="L26" s="37" t="b">
        <v>1</v>
      </c>
      <c r="M26" s="21" t="s">
        <v>155</v>
      </c>
      <c r="N26" s="21" t="s">
        <v>158</v>
      </c>
      <c r="O26" s="50" t="s">
        <v>49</v>
      </c>
      <c r="P26" s="51">
        <v>1.0</v>
      </c>
    </row>
    <row r="27" ht="22.5" customHeight="1">
      <c r="A27" s="19">
        <v>46077.0</v>
      </c>
      <c r="B27" s="20" t="s">
        <v>266</v>
      </c>
      <c r="C27" s="20" t="s">
        <v>77</v>
      </c>
      <c r="D27" s="21" t="s">
        <v>140</v>
      </c>
      <c r="E27" s="48" t="str">
        <f t="shared" si="3"/>
        <v>Orgánica</v>
      </c>
      <c r="F27" s="20" t="s">
        <v>267</v>
      </c>
      <c r="G27" s="41" t="s">
        <v>268</v>
      </c>
      <c r="H27" s="30" t="str">
        <f>IF(C27="", "", IFERROR(VLOOKUP(C27, 'Tabla 2'!$A$2:$D$298, 2, FALSE), ""))</f>
        <v>Sustentabilidad Nacional</v>
      </c>
      <c r="I27" s="34">
        <f>IF(C27="", "", IFERROR(VLOOKUP(C27, 'Tabla 2'!$A$2:$D$298, 3, FALSE), ""))</f>
        <v>1</v>
      </c>
      <c r="J27" s="35">
        <f>IF(C27="", "", IFERROR(VLOOKUP(C27, 'Tabla 2'!$A$2:$D$298, 4, FALSE), ""))</f>
        <v>700000</v>
      </c>
      <c r="K27" s="21" t="s">
        <v>44</v>
      </c>
      <c r="L27" s="37" t="b">
        <v>1</v>
      </c>
      <c r="M27" s="21" t="s">
        <v>46</v>
      </c>
      <c r="N27" s="21" t="s">
        <v>48</v>
      </c>
      <c r="O27" s="50" t="s">
        <v>40</v>
      </c>
      <c r="P27" s="51">
        <v>1.0</v>
      </c>
    </row>
    <row r="28" ht="22.5" customHeight="1">
      <c r="A28" s="19">
        <v>46078.0</v>
      </c>
      <c r="B28" s="20" t="s">
        <v>273</v>
      </c>
      <c r="C28" s="20" t="s">
        <v>61</v>
      </c>
      <c r="D28" s="21" t="s">
        <v>140</v>
      </c>
      <c r="E28" s="48" t="str">
        <f t="shared" si="3"/>
        <v>Orgánica</v>
      </c>
      <c r="F28" s="20" t="s">
        <v>275</v>
      </c>
      <c r="G28" s="41" t="s">
        <v>276</v>
      </c>
      <c r="H28" s="30" t="str">
        <f>IF(C28="", "", IFERROR(VLOOKUP(C28, 'Tabla 2'!$A$2:$D$298, 2, FALSE), ""))</f>
        <v>Negocio Nacional</v>
      </c>
      <c r="I28" s="34">
        <f>IF(C28="", "", IFERROR(VLOOKUP(C28, 'Tabla 2'!$A$2:$D$298, 3, FALSE), ""))</f>
        <v>1</v>
      </c>
      <c r="J28" s="35">
        <f>IF(C28="", "", IFERROR(VLOOKUP(C28, 'Tabla 2'!$A$2:$D$298, 4, FALSE), ""))</f>
        <v>500000</v>
      </c>
      <c r="K28" s="21" t="s">
        <v>44</v>
      </c>
      <c r="L28" s="37" t="b">
        <v>1</v>
      </c>
      <c r="M28" s="21" t="s">
        <v>155</v>
      </c>
      <c r="N28" s="21" t="s">
        <v>184</v>
      </c>
      <c r="O28" s="50" t="s">
        <v>49</v>
      </c>
      <c r="P28" s="51">
        <v>1.0</v>
      </c>
    </row>
    <row r="29" ht="22.5" customHeight="1">
      <c r="A29" s="19">
        <v>46079.0</v>
      </c>
      <c r="B29" s="20" t="s">
        <v>281</v>
      </c>
      <c r="C29" s="20" t="s">
        <v>57</v>
      </c>
      <c r="D29" s="21" t="s">
        <v>140</v>
      </c>
      <c r="E29" s="48" t="str">
        <f t="shared" si="3"/>
        <v>Orgánica</v>
      </c>
      <c r="F29" s="20" t="s">
        <v>283</v>
      </c>
      <c r="G29" s="41" t="s">
        <v>284</v>
      </c>
      <c r="H29" s="30" t="str">
        <f>IF(C29="", "", IFERROR(VLOOKUP(C29, 'Tabla 2'!$A$2:$D$298, 2, FALSE), ""))</f>
        <v>Generalista Nacional</v>
      </c>
      <c r="I29" s="34">
        <f>IF(C29="", "", IFERROR(VLOOKUP(C29, 'Tabla 2'!$A$2:$D$298, 3, FALSE), ""))</f>
        <v>1</v>
      </c>
      <c r="J29" s="35">
        <f>IF(C29="", "", IFERROR(VLOOKUP(C29, 'Tabla 2'!$A$2:$D$298, 4, FALSE), ""))</f>
        <v>800000</v>
      </c>
      <c r="K29" s="21" t="s">
        <v>44</v>
      </c>
      <c r="L29" s="37" t="b">
        <v>1</v>
      </c>
      <c r="M29" s="21" t="s">
        <v>155</v>
      </c>
      <c r="N29" s="21" t="s">
        <v>184</v>
      </c>
      <c r="O29" s="50" t="s">
        <v>289</v>
      </c>
      <c r="P29" s="51">
        <v>1.0</v>
      </c>
    </row>
    <row r="30" ht="22.5" customHeight="1">
      <c r="A30" s="19">
        <v>46082.0</v>
      </c>
      <c r="B30" s="20" t="s">
        <v>291</v>
      </c>
      <c r="C30" s="20" t="s">
        <v>31</v>
      </c>
      <c r="D30" s="21" t="s">
        <v>32</v>
      </c>
      <c r="E30" s="21" t="s">
        <v>34</v>
      </c>
      <c r="F30" s="20" t="s">
        <v>252</v>
      </c>
      <c r="G30" s="41" t="s">
        <v>293</v>
      </c>
      <c r="H30" s="30" t="str">
        <f>IF(C30="", "", IFERROR(VLOOKUP(C30, 'Tabla 2'!$A$2:$D$298, 2, FALSE), ""))</f>
        <v>Local BB</v>
      </c>
      <c r="I30" s="34">
        <f>IF(C30="", "", IFERROR(VLOOKUP(C30, 'Tabla 2'!$A$2:$D$298, 3, FALSE), ""))</f>
        <v>1</v>
      </c>
      <c r="J30" s="35">
        <f>IF(C30="", "", IFERROR(VLOOKUP(C30, 'Tabla 2'!$A$2:$D$298, 4, FALSE), ""))</f>
        <v>900000</v>
      </c>
      <c r="K30" s="21" t="s">
        <v>44</v>
      </c>
      <c r="L30" s="13" t="b">
        <v>0</v>
      </c>
      <c r="M30" s="21" t="s">
        <v>46</v>
      </c>
      <c r="N30" s="21" t="s">
        <v>48</v>
      </c>
      <c r="O30" s="50" t="s">
        <v>49</v>
      </c>
      <c r="P30" s="51">
        <v>1.0</v>
      </c>
    </row>
    <row r="31" ht="22.5" customHeight="1">
      <c r="A31" s="19">
        <v>46082.0</v>
      </c>
      <c r="B31" s="20" t="s">
        <v>298</v>
      </c>
      <c r="C31" s="20" t="s">
        <v>52</v>
      </c>
      <c r="D31" s="21" t="s">
        <v>140</v>
      </c>
      <c r="E31" s="21" t="s">
        <v>34</v>
      </c>
      <c r="F31" s="20" t="s">
        <v>252</v>
      </c>
      <c r="G31" s="41" t="s">
        <v>300</v>
      </c>
      <c r="H31" s="30" t="str">
        <f>IF(C31="", "", IFERROR(VLOOKUP(C31, 'Tabla 2'!$A$2:$D$298, 2, FALSE), ""))</f>
        <v>Negocio Nacional</v>
      </c>
      <c r="I31" s="34">
        <f>IF(C31="", "", IFERROR(VLOOKUP(C31, 'Tabla 2'!$A$2:$D$298, 3, FALSE), ""))</f>
        <v>1</v>
      </c>
      <c r="J31" s="35">
        <f>IF(C31="", "", IFERROR(VLOOKUP(C31, 'Tabla 2'!$A$2:$D$298, 4, FALSE), ""))</f>
        <v>800000</v>
      </c>
      <c r="K31" s="21" t="s">
        <v>44</v>
      </c>
      <c r="L31" s="37" t="b">
        <v>1</v>
      </c>
      <c r="M31" s="21" t="s">
        <v>155</v>
      </c>
      <c r="N31" s="21" t="s">
        <v>158</v>
      </c>
      <c r="O31" s="50" t="s">
        <v>49</v>
      </c>
      <c r="P31" s="51">
        <v>1.0</v>
      </c>
    </row>
    <row r="32" ht="22.5" customHeight="1">
      <c r="A32" s="19">
        <v>46083.0</v>
      </c>
      <c r="B32" s="20" t="s">
        <v>305</v>
      </c>
      <c r="C32" s="20" t="s">
        <v>136</v>
      </c>
      <c r="D32" s="21" t="s">
        <v>140</v>
      </c>
      <c r="E32" s="21" t="s">
        <v>34</v>
      </c>
      <c r="F32" s="20" t="s">
        <v>307</v>
      </c>
      <c r="G32" s="41" t="s">
        <v>308</v>
      </c>
      <c r="H32" s="30" t="str">
        <f>IF(C32="", "", IFERROR(VLOOKUP(C32, 'Tabla 2'!$A$2:$D$298, 2, FALSE), ""))</f>
        <v>Negocio Nacional</v>
      </c>
      <c r="I32" s="34">
        <f>IF(C32="", "", IFERROR(VLOOKUP(C32, 'Tabla 2'!$A$2:$D$298, 3, FALSE), ""))</f>
        <v>2</v>
      </c>
      <c r="J32" s="35">
        <f>IF(C32="", "", IFERROR(VLOOKUP(C32, 'Tabla 2'!$A$2:$D$298, 4, FALSE), ""))</f>
        <v>0</v>
      </c>
      <c r="K32" s="21" t="s">
        <v>44</v>
      </c>
      <c r="L32" s="37" t="b">
        <v>1</v>
      </c>
      <c r="M32" s="21" t="s">
        <v>155</v>
      </c>
      <c r="N32" s="21" t="s">
        <v>158</v>
      </c>
      <c r="O32" s="50" t="s">
        <v>49</v>
      </c>
      <c r="P32" s="51">
        <v>1.0</v>
      </c>
    </row>
    <row r="33" ht="22.5" customHeight="1">
      <c r="A33" s="19">
        <v>46085.0</v>
      </c>
      <c r="B33" s="20" t="s">
        <v>314</v>
      </c>
      <c r="C33" s="20" t="s">
        <v>315</v>
      </c>
      <c r="D33" s="21" t="s">
        <v>140</v>
      </c>
      <c r="E33" s="21" t="s">
        <v>34</v>
      </c>
      <c r="F33" s="20" t="s">
        <v>316</v>
      </c>
      <c r="G33" s="41" t="s">
        <v>318</v>
      </c>
      <c r="H33" s="30" t="str">
        <f>IF(C33="", "", IFERROR(VLOOKUP(C33, 'Tabla 2'!$A$2:$D$298, 2, FALSE), ""))</f>
        <v>Generalista Nacional</v>
      </c>
      <c r="I33" s="34">
        <f>IF(C33="", "", IFERROR(VLOOKUP(C33, 'Tabla 2'!$A$2:$D$298, 3, FALSE), ""))</f>
        <v>3</v>
      </c>
      <c r="J33" s="35">
        <f>IF(C33="", "", IFERROR(VLOOKUP(C33, 'Tabla 2'!$A$2:$D$298, 4, FALSE), ""))</f>
        <v>0</v>
      </c>
      <c r="K33" s="21" t="s">
        <v>44</v>
      </c>
      <c r="L33" s="37" t="b">
        <v>1</v>
      </c>
      <c r="M33" s="21" t="s">
        <v>155</v>
      </c>
      <c r="N33" s="21" t="s">
        <v>158</v>
      </c>
      <c r="O33" s="50" t="s">
        <v>49</v>
      </c>
      <c r="P33" s="51">
        <v>1.0</v>
      </c>
    </row>
    <row r="34" ht="22.5" customHeight="1">
      <c r="A34" s="19">
        <v>46091.0</v>
      </c>
      <c r="B34" s="20" t="s">
        <v>323</v>
      </c>
      <c r="C34" s="20" t="s">
        <v>77</v>
      </c>
      <c r="D34" s="21" t="s">
        <v>140</v>
      </c>
      <c r="E34" s="21" t="s">
        <v>34</v>
      </c>
      <c r="F34" s="20" t="s">
        <v>324</v>
      </c>
      <c r="G34" s="41" t="s">
        <v>325</v>
      </c>
      <c r="H34" s="30" t="str">
        <f>IF(C34="", "", IFERROR(VLOOKUP(C34, 'Tabla 2'!$A$2:$D$298, 2, FALSE), ""))</f>
        <v>Sustentabilidad Nacional</v>
      </c>
      <c r="I34" s="34">
        <f>IF(C34="", "", IFERROR(VLOOKUP(C34, 'Tabla 2'!$A$2:$D$298, 3, FALSE), ""))</f>
        <v>1</v>
      </c>
      <c r="J34" s="35">
        <f>IF(C34="", "", IFERROR(VLOOKUP(C34, 'Tabla 2'!$A$2:$D$298, 4, FALSE), ""))</f>
        <v>700000</v>
      </c>
      <c r="K34" s="21" t="s">
        <v>44</v>
      </c>
      <c r="L34" s="37"/>
      <c r="M34" s="21" t="s">
        <v>155</v>
      </c>
      <c r="N34" s="21" t="s">
        <v>184</v>
      </c>
      <c r="O34" s="50" t="s">
        <v>49</v>
      </c>
      <c r="P34" s="51">
        <v>1.0</v>
      </c>
    </row>
    <row r="35" ht="22.5" customHeight="1">
      <c r="A35" s="19">
        <v>46092.0</v>
      </c>
      <c r="B35" s="20" t="s">
        <v>331</v>
      </c>
      <c r="C35" s="20" t="s">
        <v>332</v>
      </c>
      <c r="D35" s="21" t="s">
        <v>32</v>
      </c>
      <c r="E35" s="21" t="s">
        <v>34</v>
      </c>
      <c r="F35" s="20" t="s">
        <v>334</v>
      </c>
      <c r="G35" s="41" t="s">
        <v>335</v>
      </c>
      <c r="H35" s="30" t="str">
        <f>IF(C35="", "", IFERROR(VLOOKUP(C35, 'Tabla 2'!$A$2:$D$298, 2, FALSE), ""))</f>
        <v>Generalista Nacional</v>
      </c>
      <c r="I35" s="34">
        <f>IF(C35="", "", IFERROR(VLOOKUP(C35, 'Tabla 2'!$A$2:$D$298, 3, FALSE), ""))</f>
        <v>3</v>
      </c>
      <c r="J35" s="35">
        <f>IF(C35="", "", IFERROR(VLOOKUP(C35, 'Tabla 2'!$A$2:$D$298, 4, FALSE), ""))</f>
        <v>0</v>
      </c>
      <c r="K35" s="21" t="s">
        <v>44</v>
      </c>
      <c r="L35" s="13" t="b">
        <v>0</v>
      </c>
      <c r="M35" s="21" t="s">
        <v>155</v>
      </c>
      <c r="N35" s="21" t="s">
        <v>158</v>
      </c>
      <c r="O35" s="50" t="s">
        <v>49</v>
      </c>
      <c r="P35" s="51">
        <v>1.0</v>
      </c>
    </row>
    <row r="36" ht="22.5" customHeight="1">
      <c r="A36" s="19">
        <v>46092.0</v>
      </c>
      <c r="B36" s="20" t="s">
        <v>339</v>
      </c>
      <c r="C36" s="20" t="s">
        <v>340</v>
      </c>
      <c r="D36" s="21" t="s">
        <v>32</v>
      </c>
      <c r="E36" s="21" t="s">
        <v>34</v>
      </c>
      <c r="F36" s="20" t="s">
        <v>341</v>
      </c>
      <c r="G36" s="41" t="s">
        <v>343</v>
      </c>
      <c r="H36" s="30" t="str">
        <f>IF(C36="", "", IFERROR(VLOOKUP(C36, 'Tabla 2'!$A$2:$D$298, 2, FALSE), ""))</f>
        <v>Generalista Nacional</v>
      </c>
      <c r="I36" s="34">
        <f>IF(C36="", "", IFERROR(VLOOKUP(C36, 'Tabla 2'!$A$2:$D$298, 3, FALSE), ""))</f>
        <v>3</v>
      </c>
      <c r="J36" s="35">
        <f>IF(C36="", "", IFERROR(VLOOKUP(C36, 'Tabla 2'!$A$2:$D$298, 4, FALSE), ""))</f>
        <v>0</v>
      </c>
      <c r="K36" s="21" t="s">
        <v>44</v>
      </c>
      <c r="L36" s="13" t="b">
        <v>0</v>
      </c>
      <c r="M36" s="21" t="s">
        <v>155</v>
      </c>
      <c r="N36" s="21" t="s">
        <v>158</v>
      </c>
      <c r="O36" s="50" t="s">
        <v>49</v>
      </c>
      <c r="P36" s="51">
        <v>1.0</v>
      </c>
    </row>
    <row r="37" ht="22.5" customHeight="1">
      <c r="A37" s="19">
        <v>46092.0</v>
      </c>
      <c r="B37" s="20" t="s">
        <v>331</v>
      </c>
      <c r="C37" s="20" t="s">
        <v>348</v>
      </c>
      <c r="D37" s="21" t="s">
        <v>32</v>
      </c>
      <c r="E37" s="21" t="s">
        <v>34</v>
      </c>
      <c r="F37" s="20" t="s">
        <v>349</v>
      </c>
      <c r="G37" s="41" t="s">
        <v>351</v>
      </c>
      <c r="H37" s="30" t="str">
        <f>IF(C37="", "", IFERROR(VLOOKUP(C37, 'Tabla 2'!$A$2:$D$298, 2, FALSE), ""))</f>
        <v>Generalista Nacional</v>
      </c>
      <c r="I37" s="34">
        <f>IF(C37="", "", IFERROR(VLOOKUP(C37, 'Tabla 2'!$A$2:$D$298, 3, FALSE), ""))</f>
        <v>3</v>
      </c>
      <c r="J37" s="35">
        <f>IF(C37="", "", IFERROR(VLOOKUP(C37, 'Tabla 2'!$A$2:$D$298, 4, FALSE), ""))</f>
        <v>0</v>
      </c>
      <c r="K37" s="21" t="s">
        <v>44</v>
      </c>
      <c r="L37" s="13" t="b">
        <v>0</v>
      </c>
      <c r="M37" s="21" t="s">
        <v>155</v>
      </c>
      <c r="N37" s="21" t="s">
        <v>158</v>
      </c>
      <c r="O37" s="50" t="s">
        <v>49</v>
      </c>
      <c r="P37" s="51">
        <v>1.0</v>
      </c>
    </row>
    <row r="38" ht="22.5" customHeight="1">
      <c r="A38" s="19">
        <v>46092.0</v>
      </c>
      <c r="B38" s="20" t="s">
        <v>357</v>
      </c>
      <c r="C38" s="20" t="s">
        <v>359</v>
      </c>
      <c r="D38" s="21" t="s">
        <v>32</v>
      </c>
      <c r="E38" s="21" t="s">
        <v>34</v>
      </c>
      <c r="F38" s="20" t="s">
        <v>360</v>
      </c>
      <c r="G38" s="41" t="s">
        <v>361</v>
      </c>
      <c r="H38" s="30" t="str">
        <f>IF(C38="", "", IFERROR(VLOOKUP(C38, 'Tabla 2'!$A$2:$D$298, 2, FALSE), ""))</f>
        <v>Generalista Nacional</v>
      </c>
      <c r="I38" s="34">
        <f>IF(C38="", "", IFERROR(VLOOKUP(C38, 'Tabla 2'!$A$2:$D$298, 3, FALSE), ""))</f>
        <v>3</v>
      </c>
      <c r="J38" s="35">
        <f>IF(C38="", "", IFERROR(VLOOKUP(C38, 'Tabla 2'!$A$2:$D$298, 4, FALSE), ""))</f>
        <v>0</v>
      </c>
      <c r="K38" s="21" t="s">
        <v>44</v>
      </c>
      <c r="L38" s="13" t="s">
        <v>367</v>
      </c>
      <c r="M38" s="21" t="s">
        <v>46</v>
      </c>
      <c r="N38" s="21" t="s">
        <v>167</v>
      </c>
      <c r="O38" s="50" t="s">
        <v>49</v>
      </c>
      <c r="P38" s="51">
        <v>1.0</v>
      </c>
    </row>
    <row r="39" ht="22.5" customHeight="1">
      <c r="A39" s="19">
        <v>46094.0</v>
      </c>
      <c r="B39" s="20" t="s">
        <v>371</v>
      </c>
      <c r="C39" s="20" t="s">
        <v>54</v>
      </c>
      <c r="D39" s="21" t="s">
        <v>140</v>
      </c>
      <c r="E39" s="21" t="s">
        <v>34</v>
      </c>
      <c r="F39" s="20" t="s">
        <v>372</v>
      </c>
      <c r="G39" s="41" t="s">
        <v>373</v>
      </c>
      <c r="H39" s="30" t="str">
        <f>IF(C39="", "", IFERROR(VLOOKUP(C39, 'Tabla 2'!$A$2:$D$298, 2, FALSE), ""))</f>
        <v>Generalista Nacional</v>
      </c>
      <c r="I39" s="34">
        <f>IF(C39="", "", IFERROR(VLOOKUP(C39, 'Tabla 2'!$A$2:$D$298, 3, FALSE), ""))</f>
        <v>1</v>
      </c>
      <c r="J39" s="35">
        <f>IF(C39="", "", IFERROR(VLOOKUP(C39, 'Tabla 2'!$A$2:$D$298, 4, FALSE), ""))</f>
        <v>6000000</v>
      </c>
      <c r="K39" s="21" t="s">
        <v>44</v>
      </c>
      <c r="L39" s="37" t="b">
        <v>1</v>
      </c>
      <c r="M39" s="21" t="s">
        <v>155</v>
      </c>
      <c r="N39" s="21" t="s">
        <v>184</v>
      </c>
      <c r="O39" s="50" t="s">
        <v>49</v>
      </c>
      <c r="P39" s="51">
        <v>1.0</v>
      </c>
    </row>
    <row r="40" ht="22.5" customHeight="1">
      <c r="A40" s="19">
        <v>46094.0</v>
      </c>
      <c r="B40" s="20" t="s">
        <v>381</v>
      </c>
      <c r="C40" s="50" t="s">
        <v>166</v>
      </c>
      <c r="D40" s="21" t="s">
        <v>140</v>
      </c>
      <c r="E40" s="21" t="s">
        <v>34</v>
      </c>
      <c r="F40" s="20" t="s">
        <v>382</v>
      </c>
      <c r="G40" s="41" t="s">
        <v>383</v>
      </c>
      <c r="H40" s="50" t="str">
        <f>IF(C40="", "", IFERROR(VLOOKUP(C40, 'Tabla 2'!$A$2:$D$298, 2, FALSE), ""))</f>
        <v>Local BB</v>
      </c>
      <c r="I40" s="13">
        <f>IF(C40="", "", IFERROR(VLOOKUP(C40, 'Tabla 2'!$A$2:$D$298, 3, FALSE), ""))</f>
        <v>2</v>
      </c>
      <c r="J40" s="55">
        <f>IF(C40="", "", IFERROR(VLOOKUP(C40, 'Tabla 2'!$A$2:$D$298, 4, FALSE), ""))</f>
        <v>0</v>
      </c>
      <c r="K40" s="21" t="s">
        <v>44</v>
      </c>
      <c r="L40" s="37" t="b">
        <v>1</v>
      </c>
      <c r="M40" s="21" t="s">
        <v>155</v>
      </c>
      <c r="N40" s="21" t="s">
        <v>184</v>
      </c>
      <c r="O40" s="50" t="s">
        <v>49</v>
      </c>
      <c r="P40" s="51">
        <v>1.0</v>
      </c>
    </row>
    <row r="41" ht="22.5" customHeight="1">
      <c r="A41" s="19">
        <v>46094.0</v>
      </c>
      <c r="B41" s="20" t="s">
        <v>391</v>
      </c>
      <c r="C41" s="20" t="s">
        <v>120</v>
      </c>
      <c r="D41" s="21" t="s">
        <v>140</v>
      </c>
      <c r="E41" s="21" t="s">
        <v>34</v>
      </c>
      <c r="F41" s="20" t="s">
        <v>382</v>
      </c>
      <c r="G41" s="41" t="s">
        <v>393</v>
      </c>
      <c r="H41" s="30" t="str">
        <f>IF(C41="", "", IFERROR(VLOOKUP(C41, 'Tabla 2'!$A$2:$D$298, 2, FALSE), ""))</f>
        <v>Local BB</v>
      </c>
      <c r="I41" s="34">
        <f>IF(C41="", "", IFERROR(VLOOKUP(C41, 'Tabla 2'!$A$2:$D$298, 3, FALSE), ""))</f>
        <v>3</v>
      </c>
      <c r="J41" s="35">
        <f>IF(C41="", "", IFERROR(VLOOKUP(C41, 'Tabla 2'!$A$2:$D$298, 4, FALSE), ""))</f>
        <v>0</v>
      </c>
      <c r="K41" s="21" t="s">
        <v>44</v>
      </c>
      <c r="L41" s="37" t="b">
        <v>1</v>
      </c>
      <c r="M41" s="21" t="s">
        <v>155</v>
      </c>
      <c r="N41" s="21" t="s">
        <v>184</v>
      </c>
      <c r="O41" s="50" t="s">
        <v>49</v>
      </c>
      <c r="P41" s="51">
        <v>1.0</v>
      </c>
    </row>
    <row r="42" ht="22.5" customHeight="1">
      <c r="A42" s="19">
        <v>46094.0</v>
      </c>
      <c r="B42" s="20" t="s">
        <v>371</v>
      </c>
      <c r="C42" s="20" t="s">
        <v>401</v>
      </c>
      <c r="D42" s="21" t="s">
        <v>140</v>
      </c>
      <c r="E42" s="21" t="s">
        <v>34</v>
      </c>
      <c r="F42" s="20" t="s">
        <v>372</v>
      </c>
      <c r="G42" s="41" t="s">
        <v>403</v>
      </c>
      <c r="H42" s="50" t="str">
        <f>IF(C42="", "", IFERROR(VLOOKUP(C42, 'Tabla 2'!$A$2:$D$298, 2, FALSE), ""))</f>
        <v/>
      </c>
      <c r="I42" s="13">
        <v>3.0</v>
      </c>
      <c r="J42" s="55" t="str">
        <f>IF(C42="", "", IFERROR(VLOOKUP(C42, 'Tabla 2'!$A$2:$D$298, 4, FALSE), ""))</f>
        <v/>
      </c>
      <c r="K42" s="21" t="s">
        <v>44</v>
      </c>
      <c r="L42" s="37" t="b">
        <v>1</v>
      </c>
      <c r="M42" s="21" t="s">
        <v>155</v>
      </c>
      <c r="N42" s="21" t="s">
        <v>184</v>
      </c>
      <c r="O42" s="50" t="s">
        <v>49</v>
      </c>
      <c r="P42" s="51">
        <v>1.0</v>
      </c>
    </row>
    <row r="43" ht="22.5" customHeight="1">
      <c r="A43" s="19">
        <v>46094.0</v>
      </c>
      <c r="B43" s="20" t="s">
        <v>410</v>
      </c>
      <c r="C43" s="20" t="s">
        <v>411</v>
      </c>
      <c r="D43" s="21" t="s">
        <v>140</v>
      </c>
      <c r="E43" s="21" t="s">
        <v>34</v>
      </c>
      <c r="F43" s="20" t="s">
        <v>413</v>
      </c>
      <c r="G43" s="41" t="s">
        <v>414</v>
      </c>
      <c r="H43" s="30" t="str">
        <f>IF(C43="", "", IFERROR(VLOOKUP(C43, 'Tabla 2'!$A$2:$D$298, 2, FALSE), ""))</f>
        <v>Local BB</v>
      </c>
      <c r="I43" s="34">
        <f>IF(C43="", "", IFERROR(VLOOKUP(C43, 'Tabla 2'!$A$2:$D$298, 3, FALSE), ""))</f>
        <v>3</v>
      </c>
      <c r="J43" s="35">
        <f>IF(C43="", "", IFERROR(VLOOKUP(C43, 'Tabla 2'!$A$2:$D$298, 4, FALSE), ""))</f>
        <v>0</v>
      </c>
      <c r="K43" s="21" t="s">
        <v>44</v>
      </c>
      <c r="L43" s="37" t="b">
        <v>1</v>
      </c>
      <c r="M43" s="21" t="s">
        <v>155</v>
      </c>
      <c r="N43" s="21" t="s">
        <v>184</v>
      </c>
      <c r="O43" s="50" t="s">
        <v>49</v>
      </c>
      <c r="P43" s="51">
        <v>1.0</v>
      </c>
    </row>
    <row r="44" ht="22.5" customHeight="1">
      <c r="A44" s="19">
        <v>46094.0</v>
      </c>
      <c r="B44" s="20" t="s">
        <v>420</v>
      </c>
      <c r="C44" s="20" t="s">
        <v>70</v>
      </c>
      <c r="D44" s="21" t="s">
        <v>140</v>
      </c>
      <c r="E44" s="21" t="s">
        <v>34</v>
      </c>
      <c r="F44" s="20" t="s">
        <v>382</v>
      </c>
      <c r="G44" s="41" t="s">
        <v>422</v>
      </c>
      <c r="H44" s="30" t="str">
        <f>IF(C44="", "", IFERROR(VLOOKUP(C44, 'Tabla 2'!$A$2:$D$298, 2, FALSE), ""))</f>
        <v>Local BB</v>
      </c>
      <c r="I44" s="34">
        <f>IF(C44="", "", IFERROR(VLOOKUP(C44, 'Tabla 2'!$A$2:$D$298, 3, FALSE), ""))</f>
        <v>1</v>
      </c>
      <c r="J44" s="35">
        <f>IF(C44="", "", IFERROR(VLOOKUP(C44, 'Tabla 2'!$A$2:$D$298, 4, FALSE), ""))</f>
        <v>800000</v>
      </c>
      <c r="K44" s="21" t="s">
        <v>44</v>
      </c>
      <c r="L44" s="37" t="b">
        <v>1</v>
      </c>
      <c r="M44" s="21" t="s">
        <v>155</v>
      </c>
      <c r="N44" s="21" t="s">
        <v>184</v>
      </c>
      <c r="O44" s="50" t="s">
        <v>40</v>
      </c>
      <c r="P44" s="51">
        <v>1.0</v>
      </c>
    </row>
    <row r="45" ht="22.5" customHeight="1">
      <c r="A45" s="19">
        <v>46094.0</v>
      </c>
      <c r="B45" s="20" t="s">
        <v>420</v>
      </c>
      <c r="C45" s="20" t="s">
        <v>156</v>
      </c>
      <c r="D45" s="21" t="s">
        <v>140</v>
      </c>
      <c r="E45" s="21" t="s">
        <v>34</v>
      </c>
      <c r="F45" s="20" t="s">
        <v>382</v>
      </c>
      <c r="G45" s="41" t="s">
        <v>428</v>
      </c>
      <c r="H45" s="30" t="str">
        <f>IF(C45="", "", IFERROR(VLOOKUP(C45, 'Tabla 2'!$A$2:$D$298, 2, FALSE), ""))</f>
        <v>Sustentabilidad Nacional</v>
      </c>
      <c r="I45" s="34">
        <f>IF(C45="", "", IFERROR(VLOOKUP(C45, 'Tabla 2'!$A$2:$D$298, 3, FALSE), ""))</f>
        <v>2</v>
      </c>
      <c r="J45" s="35">
        <f>IF(C45="", "", IFERROR(VLOOKUP(C45, 'Tabla 2'!$A$2:$D$298, 4, FALSE), ""))</f>
        <v>0</v>
      </c>
      <c r="K45" s="21" t="s">
        <v>44</v>
      </c>
      <c r="L45" s="37" t="b">
        <v>1</v>
      </c>
      <c r="M45" s="21" t="s">
        <v>155</v>
      </c>
      <c r="N45" s="21" t="s">
        <v>184</v>
      </c>
      <c r="O45" s="50" t="s">
        <v>49</v>
      </c>
      <c r="P45" s="51">
        <v>1.0</v>
      </c>
    </row>
    <row r="46" ht="22.5" customHeight="1">
      <c r="A46" s="19">
        <v>46094.0</v>
      </c>
      <c r="B46" s="20" t="s">
        <v>391</v>
      </c>
      <c r="C46" s="20" t="s">
        <v>56</v>
      </c>
      <c r="D46" s="21" t="s">
        <v>140</v>
      </c>
      <c r="E46" s="21" t="s">
        <v>34</v>
      </c>
      <c r="F46" s="20" t="s">
        <v>382</v>
      </c>
      <c r="G46" s="41" t="s">
        <v>434</v>
      </c>
      <c r="H46" s="30" t="str">
        <f>IF(C46="", "", IFERROR(VLOOKUP(C46, 'Tabla 2'!$A$2:$D$298, 2, FALSE), ""))</f>
        <v>Local BB</v>
      </c>
      <c r="I46" s="34">
        <f>IF(C46="", "", IFERROR(VLOOKUP(C46, 'Tabla 2'!$A$2:$D$298, 3, FALSE), ""))</f>
        <v>1</v>
      </c>
      <c r="J46" s="35">
        <f>IF(C46="", "", IFERROR(VLOOKUP(C46, 'Tabla 2'!$A$2:$D$298, 4, FALSE), ""))</f>
        <v>500000</v>
      </c>
      <c r="K46" s="21" t="s">
        <v>44</v>
      </c>
      <c r="L46" s="37" t="b">
        <v>1</v>
      </c>
      <c r="M46" s="21" t="s">
        <v>155</v>
      </c>
      <c r="N46" s="21" t="s">
        <v>184</v>
      </c>
      <c r="O46" s="50" t="s">
        <v>40</v>
      </c>
      <c r="P46" s="51">
        <v>1.0</v>
      </c>
    </row>
    <row r="47" ht="22.5" customHeight="1">
      <c r="A47" s="19">
        <v>46094.0</v>
      </c>
      <c r="B47" s="20" t="s">
        <v>391</v>
      </c>
      <c r="C47" s="20" t="s">
        <v>411</v>
      </c>
      <c r="D47" s="21" t="s">
        <v>140</v>
      </c>
      <c r="E47" s="21" t="s">
        <v>34</v>
      </c>
      <c r="F47" s="20" t="s">
        <v>439</v>
      </c>
      <c r="G47" s="41" t="s">
        <v>440</v>
      </c>
      <c r="H47" s="30" t="str">
        <f>IF(C47="", "", IFERROR(VLOOKUP(C47, 'Tabla 2'!$A$2:$D$298, 2, FALSE), ""))</f>
        <v>Local BB</v>
      </c>
      <c r="I47" s="34">
        <f>IF(C47="", "", IFERROR(VLOOKUP(C47, 'Tabla 2'!$A$2:$D$298, 3, FALSE), ""))</f>
        <v>3</v>
      </c>
      <c r="J47" s="35">
        <f>IF(C47="", "", IFERROR(VLOOKUP(C47, 'Tabla 2'!$A$2:$D$298, 4, FALSE), ""))</f>
        <v>0</v>
      </c>
      <c r="K47" s="21" t="s">
        <v>44</v>
      </c>
      <c r="L47" s="37" t="b">
        <v>1</v>
      </c>
      <c r="M47" s="21" t="s">
        <v>155</v>
      </c>
      <c r="N47" s="21" t="s">
        <v>184</v>
      </c>
      <c r="O47" s="50" t="s">
        <v>49</v>
      </c>
      <c r="P47" s="51">
        <v>1.0</v>
      </c>
    </row>
    <row r="48" ht="22.5" customHeight="1">
      <c r="A48" s="19">
        <v>46095.0</v>
      </c>
      <c r="B48" s="20" t="s">
        <v>446</v>
      </c>
      <c r="C48" s="20" t="s">
        <v>57</v>
      </c>
      <c r="D48" s="21" t="s">
        <v>140</v>
      </c>
      <c r="E48" s="21" t="s">
        <v>34</v>
      </c>
      <c r="F48" s="20" t="s">
        <v>447</v>
      </c>
      <c r="G48" s="41" t="s">
        <v>448</v>
      </c>
      <c r="H48" s="30" t="str">
        <f>IF(C48="", "", IFERROR(VLOOKUP(C48, 'Tabla 2'!$A$2:$D$298, 2, FALSE), ""))</f>
        <v>Generalista Nacional</v>
      </c>
      <c r="I48" s="34">
        <f>IF(C48="", "", IFERROR(VLOOKUP(C48, 'Tabla 2'!$A$2:$D$298, 3, FALSE), ""))</f>
        <v>1</v>
      </c>
      <c r="J48" s="35">
        <f>IF(C48="", "", IFERROR(VLOOKUP(C48, 'Tabla 2'!$A$2:$D$298, 4, FALSE), ""))</f>
        <v>800000</v>
      </c>
      <c r="K48" s="21" t="s">
        <v>44</v>
      </c>
      <c r="L48" s="37" t="b">
        <v>1</v>
      </c>
      <c r="M48" s="21" t="s">
        <v>155</v>
      </c>
      <c r="N48" s="21" t="s">
        <v>184</v>
      </c>
      <c r="O48" s="50" t="s">
        <v>49</v>
      </c>
      <c r="P48" s="51">
        <v>1.0</v>
      </c>
    </row>
    <row r="49" ht="22.5" customHeight="1">
      <c r="A49" s="19">
        <v>46097.0</v>
      </c>
      <c r="B49" s="20" t="s">
        <v>452</v>
      </c>
      <c r="C49" s="20" t="s">
        <v>453</v>
      </c>
      <c r="D49" s="21" t="s">
        <v>32</v>
      </c>
      <c r="E49" s="48" t="str">
        <f>IF(OR(D49="Espontánea", D49="Reactiva"), "Orgánica", "")</f>
        <v>Orgánica</v>
      </c>
      <c r="F49" s="20" t="s">
        <v>454</v>
      </c>
      <c r="G49" s="41" t="s">
        <v>456</v>
      </c>
      <c r="H49" s="30" t="str">
        <f>IF(C49="", "", IFERROR(VLOOKUP(C49, 'Tabla 2'!$A$2:$D$298, 2, FALSE), ""))</f>
        <v>Generalista Nacional</v>
      </c>
      <c r="I49" s="34">
        <f>IF(C49="", "", IFERROR(VLOOKUP(C49, 'Tabla 2'!$A$2:$D$298, 3, FALSE), ""))</f>
        <v>3</v>
      </c>
      <c r="J49" s="35">
        <f>IF(C49="", "", IFERROR(VLOOKUP(C49, 'Tabla 2'!$A$2:$D$298, 4, FALSE), ""))</f>
        <v>0</v>
      </c>
      <c r="K49" s="21" t="s">
        <v>44</v>
      </c>
      <c r="L49" s="49" t="b">
        <v>0</v>
      </c>
      <c r="M49" s="21" t="s">
        <v>46</v>
      </c>
      <c r="N49" s="21" t="s">
        <v>167</v>
      </c>
      <c r="O49" s="50" t="s">
        <v>49</v>
      </c>
      <c r="P49" s="51">
        <v>1.0</v>
      </c>
    </row>
    <row r="50" ht="22.5" customHeight="1">
      <c r="A50" s="19">
        <v>46097.0</v>
      </c>
      <c r="B50" s="20" t="s">
        <v>459</v>
      </c>
      <c r="C50" s="20" t="s">
        <v>56</v>
      </c>
      <c r="D50" s="21" t="s">
        <v>140</v>
      </c>
      <c r="E50" s="21" t="s">
        <v>34</v>
      </c>
      <c r="F50" s="20" t="s">
        <v>460</v>
      </c>
      <c r="G50" s="41" t="s">
        <v>461</v>
      </c>
      <c r="H50" s="30" t="str">
        <f>IF(C50="", "", IFERROR(VLOOKUP(C50, 'Tabla 2'!$A$2:$D$298, 2, FALSE), ""))</f>
        <v>Local BB</v>
      </c>
      <c r="I50" s="34">
        <f>IF(C50="", "", IFERROR(VLOOKUP(C50, 'Tabla 2'!$A$2:$D$298, 3, FALSE), ""))</f>
        <v>1</v>
      </c>
      <c r="J50" s="35">
        <f>IF(C50="", "", IFERROR(VLOOKUP(C50, 'Tabla 2'!$A$2:$D$298, 4, FALSE), ""))</f>
        <v>500000</v>
      </c>
      <c r="K50" s="21" t="s">
        <v>44</v>
      </c>
      <c r="L50" s="56" t="b">
        <v>1</v>
      </c>
      <c r="M50" s="21" t="s">
        <v>46</v>
      </c>
      <c r="N50" s="21" t="s">
        <v>48</v>
      </c>
      <c r="O50" s="50" t="s">
        <v>49</v>
      </c>
      <c r="P50" s="51">
        <v>1.0</v>
      </c>
    </row>
    <row r="51" ht="22.5" customHeight="1">
      <c r="A51" s="19">
        <v>46097.0</v>
      </c>
      <c r="B51" s="20" t="s">
        <v>466</v>
      </c>
      <c r="C51" s="20" t="s">
        <v>156</v>
      </c>
      <c r="D51" s="21" t="s">
        <v>140</v>
      </c>
      <c r="E51" s="21" t="s">
        <v>34</v>
      </c>
      <c r="F51" s="20" t="s">
        <v>467</v>
      </c>
      <c r="G51" s="41" t="s">
        <v>468</v>
      </c>
      <c r="H51" s="30" t="str">
        <f>IF(C51="", "", IFERROR(VLOOKUP(C51, 'Tabla 2'!$A$2:$D$298, 2, FALSE), ""))</f>
        <v>Sustentabilidad Nacional</v>
      </c>
      <c r="I51" s="34">
        <f>IF(C51="", "", IFERROR(VLOOKUP(C51, 'Tabla 2'!$A$2:$D$298, 3, FALSE), ""))</f>
        <v>2</v>
      </c>
      <c r="J51" s="35">
        <f>IF(C51="", "", IFERROR(VLOOKUP(C51, 'Tabla 2'!$A$2:$D$298, 4, FALSE), ""))</f>
        <v>0</v>
      </c>
      <c r="K51" s="21" t="s">
        <v>44</v>
      </c>
      <c r="L51" s="37" t="b">
        <v>1</v>
      </c>
      <c r="M51" s="21" t="s">
        <v>46</v>
      </c>
      <c r="N51" s="21" t="s">
        <v>167</v>
      </c>
      <c r="O51" s="50" t="s">
        <v>49</v>
      </c>
      <c r="P51" s="51">
        <v>1.0</v>
      </c>
    </row>
    <row r="52" ht="22.5" customHeight="1">
      <c r="A52" s="19">
        <v>46097.0</v>
      </c>
      <c r="B52" s="20" t="s">
        <v>472</v>
      </c>
      <c r="C52" s="20" t="s">
        <v>473</v>
      </c>
      <c r="D52" s="21" t="s">
        <v>140</v>
      </c>
      <c r="E52" s="21" t="s">
        <v>34</v>
      </c>
      <c r="F52" s="20" t="s">
        <v>474</v>
      </c>
      <c r="G52" s="41" t="s">
        <v>475</v>
      </c>
      <c r="H52" s="30" t="str">
        <f>IF(C52="", "", IFERROR(VLOOKUP(C52, 'Tabla 2'!$A$2:$D$298, 2, FALSE), ""))</f>
        <v>Generalista Nacional</v>
      </c>
      <c r="I52" s="34">
        <f>IF(C52="", "", IFERROR(VLOOKUP(C52, 'Tabla 2'!$A$2:$D$298, 3, FALSE), ""))</f>
        <v>3</v>
      </c>
      <c r="J52" s="35">
        <f>IF(C52="", "", IFERROR(VLOOKUP(C52, 'Tabla 2'!$A$2:$D$298, 4, FALSE), ""))</f>
        <v>0</v>
      </c>
      <c r="K52" s="21" t="s">
        <v>44</v>
      </c>
      <c r="L52" s="56" t="b">
        <v>1</v>
      </c>
      <c r="M52" s="21" t="s">
        <v>155</v>
      </c>
      <c r="N52" s="21" t="s">
        <v>158</v>
      </c>
      <c r="O52" s="50" t="s">
        <v>49</v>
      </c>
      <c r="P52" s="51">
        <v>1.0</v>
      </c>
    </row>
    <row r="53" ht="22.5" customHeight="1">
      <c r="A53" s="19">
        <v>46110.0</v>
      </c>
      <c r="B53" s="20" t="s">
        <v>479</v>
      </c>
      <c r="C53" s="20" t="s">
        <v>31</v>
      </c>
      <c r="D53" s="21" t="s">
        <v>140</v>
      </c>
      <c r="E53" s="48" t="str">
        <f t="shared" ref="E53:E74" si="4">IF(D53="","","Orgánica")</f>
        <v>Orgánica</v>
      </c>
      <c r="F53" s="20" t="s">
        <v>480</v>
      </c>
      <c r="G53" s="41" t="s">
        <v>481</v>
      </c>
      <c r="H53" s="30" t="str">
        <f>IF(C53="", "", IFERROR(VLOOKUP(C53, 'Tabla 2'!$A$2:$D$298, 2, FALSE), ""))</f>
        <v>Local BB</v>
      </c>
      <c r="I53" s="34">
        <f>IF(C53="", "", IFERROR(VLOOKUP(C53, 'Tabla 2'!$A$2:$D$298, 3, FALSE), ""))</f>
        <v>1</v>
      </c>
      <c r="J53" s="35">
        <f>IF(C53="", "", IFERROR(VLOOKUP(C53, 'Tabla 2'!$A$2:$D$298, 4, FALSE), ""))</f>
        <v>900000</v>
      </c>
      <c r="K53" s="21" t="s">
        <v>44</v>
      </c>
      <c r="L53" s="56" t="b">
        <v>1</v>
      </c>
      <c r="M53" s="21" t="s">
        <v>155</v>
      </c>
      <c r="N53" s="21" t="s">
        <v>184</v>
      </c>
      <c r="O53" s="50" t="s">
        <v>49</v>
      </c>
      <c r="P53" s="51">
        <v>1.0</v>
      </c>
    </row>
    <row r="54" ht="22.5" customHeight="1">
      <c r="A54" s="19">
        <v>46123.0</v>
      </c>
      <c r="B54" s="20" t="s">
        <v>485</v>
      </c>
      <c r="C54" s="20" t="s">
        <v>31</v>
      </c>
      <c r="D54" s="21" t="s">
        <v>140</v>
      </c>
      <c r="E54" s="48" t="str">
        <f t="shared" si="4"/>
        <v>Orgánica</v>
      </c>
      <c r="F54" s="20" t="s">
        <v>486</v>
      </c>
      <c r="G54" s="41" t="s">
        <v>487</v>
      </c>
      <c r="H54" s="30" t="str">
        <f>IF(C54="", "", IFERROR(VLOOKUP(C54, 'Tabla 2'!$A$2:$D$298, 2, FALSE), ""))</f>
        <v>Local BB</v>
      </c>
      <c r="I54" s="34">
        <f>IF(C54="", "", IFERROR(VLOOKUP(C54, 'Tabla 2'!$A$2:$D$298, 3, FALSE), ""))</f>
        <v>1</v>
      </c>
      <c r="J54" s="35">
        <f>IF(C54="", "", IFERROR(VLOOKUP(C54, 'Tabla 2'!$A$2:$D$298, 4, FALSE), ""))</f>
        <v>900000</v>
      </c>
      <c r="K54" s="21" t="s">
        <v>44</v>
      </c>
      <c r="L54" s="56" t="b">
        <v>1</v>
      </c>
      <c r="M54" s="21" t="s">
        <v>155</v>
      </c>
      <c r="N54" s="21" t="s">
        <v>158</v>
      </c>
      <c r="O54" s="50" t="s">
        <v>49</v>
      </c>
      <c r="P54" s="51">
        <v>1.0</v>
      </c>
    </row>
    <row r="55" ht="22.5" customHeight="1">
      <c r="A55" s="19">
        <v>46123.0</v>
      </c>
      <c r="B55" s="20" t="s">
        <v>485</v>
      </c>
      <c r="C55" s="20" t="s">
        <v>31</v>
      </c>
      <c r="D55" s="21" t="s">
        <v>140</v>
      </c>
      <c r="E55" s="48" t="str">
        <f t="shared" si="4"/>
        <v>Orgánica</v>
      </c>
      <c r="F55" s="20" t="s">
        <v>252</v>
      </c>
      <c r="G55" s="41" t="s">
        <v>492</v>
      </c>
      <c r="H55" s="30" t="str">
        <f>IF(C55="", "", IFERROR(VLOOKUP(C55, 'Tabla 2'!$A$2:$D$298, 2, FALSE), ""))</f>
        <v>Local BB</v>
      </c>
      <c r="I55" s="34">
        <f>IF(C55="", "", IFERROR(VLOOKUP(C55, 'Tabla 2'!$A$2:$D$298, 3, FALSE), ""))</f>
        <v>1</v>
      </c>
      <c r="J55" s="35">
        <f>IF(C55="", "", IFERROR(VLOOKUP(C55, 'Tabla 2'!$A$2:$D$298, 4, FALSE), ""))</f>
        <v>900000</v>
      </c>
      <c r="K55" s="21" t="s">
        <v>44</v>
      </c>
      <c r="L55" s="56" t="b">
        <v>1</v>
      </c>
      <c r="M55" s="21" t="s">
        <v>155</v>
      </c>
      <c r="N55" s="21" t="s">
        <v>158</v>
      </c>
      <c r="O55" s="50" t="s">
        <v>49</v>
      </c>
      <c r="P55" s="51">
        <v>1.0</v>
      </c>
    </row>
    <row r="56" ht="22.5" customHeight="1">
      <c r="A56" s="19">
        <v>46126.0</v>
      </c>
      <c r="B56" s="20" t="s">
        <v>494</v>
      </c>
      <c r="C56" s="20" t="s">
        <v>91</v>
      </c>
      <c r="D56" s="21" t="s">
        <v>32</v>
      </c>
      <c r="E56" s="48" t="str">
        <f t="shared" si="4"/>
        <v>Orgánica</v>
      </c>
      <c r="F56" s="20" t="s">
        <v>495</v>
      </c>
      <c r="G56" s="41" t="s">
        <v>496</v>
      </c>
      <c r="H56" s="30" t="str">
        <f>IF(C56="", "", IFERROR(VLOOKUP(C56, 'Tabla 2'!$A$2:$D$298, 2, FALSE), ""))</f>
        <v>Local BB</v>
      </c>
      <c r="I56" s="34">
        <f>IF(C56="", "", IFERROR(VLOOKUP(C56, 'Tabla 2'!$A$2:$D$298, 3, FALSE), ""))</f>
        <v>3</v>
      </c>
      <c r="J56" s="35">
        <f>IF(C56="", "", IFERROR(VLOOKUP(C56, 'Tabla 2'!$A$2:$D$298, 4, FALSE), ""))</f>
        <v>0</v>
      </c>
      <c r="K56" s="21" t="s">
        <v>44</v>
      </c>
      <c r="L56" s="56" t="b">
        <v>1</v>
      </c>
      <c r="M56" s="21" t="s">
        <v>46</v>
      </c>
      <c r="N56" s="21" t="s">
        <v>48</v>
      </c>
      <c r="O56" s="50" t="s">
        <v>49</v>
      </c>
      <c r="P56" s="51">
        <v>1.0</v>
      </c>
    </row>
    <row r="57" ht="22.5" customHeight="1">
      <c r="A57" s="19">
        <v>46126.0</v>
      </c>
      <c r="B57" s="20" t="s">
        <v>498</v>
      </c>
      <c r="C57" s="20" t="s">
        <v>106</v>
      </c>
      <c r="D57" s="21" t="s">
        <v>32</v>
      </c>
      <c r="E57" s="48" t="str">
        <f t="shared" si="4"/>
        <v>Orgánica</v>
      </c>
      <c r="F57" s="20" t="s">
        <v>499</v>
      </c>
      <c r="G57" s="41" t="s">
        <v>500</v>
      </c>
      <c r="H57" s="30" t="str">
        <f>IF(C57="", "", IFERROR(VLOOKUP(C57, 'Tabla 2'!$A$2:$D$298, 2, FALSE), ""))</f>
        <v>Generalista Nacional</v>
      </c>
      <c r="I57" s="34">
        <f>IF(C57="", "", IFERROR(VLOOKUP(C57, 'Tabla 2'!$A$2:$D$298, 3, FALSE), ""))</f>
        <v>3</v>
      </c>
      <c r="J57" s="35">
        <f>IF(C57="", "", IFERROR(VLOOKUP(C57, 'Tabla 2'!$A$2:$D$298, 4, FALSE), ""))</f>
        <v>0</v>
      </c>
      <c r="K57" s="21" t="s">
        <v>44</v>
      </c>
      <c r="L57" s="13" t="b">
        <v>1</v>
      </c>
      <c r="M57" s="21" t="s">
        <v>46</v>
      </c>
      <c r="N57" s="21" t="s">
        <v>48</v>
      </c>
      <c r="O57" s="50" t="s">
        <v>49</v>
      </c>
      <c r="P57" s="51">
        <v>1.0</v>
      </c>
    </row>
    <row r="58" ht="22.5" customHeight="1">
      <c r="A58" s="19">
        <v>46126.0</v>
      </c>
      <c r="B58" s="20" t="s">
        <v>505</v>
      </c>
      <c r="C58" s="20" t="s">
        <v>80</v>
      </c>
      <c r="D58" s="21" t="s">
        <v>32</v>
      </c>
      <c r="E58" s="48" t="str">
        <f t="shared" si="4"/>
        <v>Orgánica</v>
      </c>
      <c r="F58" s="20" t="s">
        <v>507</v>
      </c>
      <c r="G58" s="41" t="s">
        <v>508</v>
      </c>
      <c r="H58" s="30" t="str">
        <f>IF(C58="", "", IFERROR(VLOOKUP(C58, 'Tabla 2'!$A$2:$D$298, 2, FALSE), ""))</f>
        <v>Local BB</v>
      </c>
      <c r="I58" s="34">
        <f>IF(C58="", "", IFERROR(VLOOKUP(C58, 'Tabla 2'!$A$2:$D$298, 3, FALSE), ""))</f>
        <v>1</v>
      </c>
      <c r="J58" s="35">
        <f>IF(C58="", "", IFERROR(VLOOKUP(C58, 'Tabla 2'!$A$2:$D$298, 4, FALSE), ""))</f>
        <v>5000000</v>
      </c>
      <c r="K58" s="21" t="s">
        <v>44</v>
      </c>
      <c r="L58" s="13" t="b">
        <v>1</v>
      </c>
      <c r="M58" s="21" t="s">
        <v>46</v>
      </c>
      <c r="N58" s="21" t="s">
        <v>48</v>
      </c>
      <c r="O58" s="50" t="s">
        <v>49</v>
      </c>
      <c r="P58" s="51">
        <v>1.0</v>
      </c>
    </row>
    <row r="59" ht="22.5" customHeight="1">
      <c r="A59" s="19">
        <v>46126.0</v>
      </c>
      <c r="B59" s="20" t="s">
        <v>512</v>
      </c>
      <c r="C59" s="20" t="s">
        <v>457</v>
      </c>
      <c r="D59" s="21" t="s">
        <v>32</v>
      </c>
      <c r="E59" s="48" t="str">
        <f t="shared" si="4"/>
        <v>Orgánica</v>
      </c>
      <c r="F59" s="20" t="s">
        <v>514</v>
      </c>
      <c r="G59" s="41" t="s">
        <v>515</v>
      </c>
      <c r="H59" s="30" t="str">
        <f>IF(C59="", "", IFERROR(VLOOKUP(C59, 'Tabla 2'!$A$2:$D$298, 2, FALSE), ""))</f>
        <v>Local BB</v>
      </c>
      <c r="I59" s="34">
        <f>IF(C59="", "", IFERROR(VLOOKUP(C59, 'Tabla 2'!$A$2:$D$298, 3, FALSE), ""))</f>
        <v>3</v>
      </c>
      <c r="J59" s="35">
        <f>IF(C59="", "", IFERROR(VLOOKUP(C59, 'Tabla 2'!$A$2:$D$298, 4, FALSE), ""))</f>
        <v>0</v>
      </c>
      <c r="K59" s="21" t="s">
        <v>44</v>
      </c>
      <c r="L59" s="13" t="b">
        <v>1</v>
      </c>
      <c r="M59" s="21" t="s">
        <v>46</v>
      </c>
      <c r="N59" s="21" t="s">
        <v>48</v>
      </c>
      <c r="O59" s="50" t="s">
        <v>49</v>
      </c>
      <c r="P59" s="51">
        <v>1.0</v>
      </c>
    </row>
    <row r="60" ht="22.5" customHeight="1">
      <c r="A60" s="19">
        <v>46126.0</v>
      </c>
      <c r="B60" s="20" t="s">
        <v>522</v>
      </c>
      <c r="C60" s="20" t="s">
        <v>70</v>
      </c>
      <c r="D60" s="21" t="s">
        <v>32</v>
      </c>
      <c r="E60" s="48" t="str">
        <f t="shared" si="4"/>
        <v>Orgánica</v>
      </c>
      <c r="F60" s="20" t="s">
        <v>525</v>
      </c>
      <c r="G60" s="41" t="s">
        <v>526</v>
      </c>
      <c r="H60" s="30" t="str">
        <f>IF(C60="", "", IFERROR(VLOOKUP(C60, 'Tabla 2'!$A$2:$D$298, 2, FALSE), ""))</f>
        <v>Local BB</v>
      </c>
      <c r="I60" s="34">
        <f>IF(C60="", "", IFERROR(VLOOKUP(C60, 'Tabla 2'!$A$2:$D$298, 3, FALSE), ""))</f>
        <v>1</v>
      </c>
      <c r="J60" s="35">
        <f>IF(C60="", "", IFERROR(VLOOKUP(C60, 'Tabla 2'!$A$2:$D$298, 4, FALSE), ""))</f>
        <v>800000</v>
      </c>
      <c r="K60" s="21" t="s">
        <v>44</v>
      </c>
      <c r="L60" s="13" t="b">
        <v>1</v>
      </c>
      <c r="M60" s="21" t="s">
        <v>46</v>
      </c>
      <c r="N60" s="21" t="s">
        <v>48</v>
      </c>
      <c r="O60" s="50" t="s">
        <v>49</v>
      </c>
      <c r="P60" s="51">
        <v>1.0</v>
      </c>
    </row>
    <row r="61" ht="22.5" customHeight="1">
      <c r="A61" s="19">
        <v>46126.0</v>
      </c>
      <c r="B61" s="20" t="s">
        <v>531</v>
      </c>
      <c r="C61" s="20" t="s">
        <v>56</v>
      </c>
      <c r="D61" s="21" t="s">
        <v>32</v>
      </c>
      <c r="E61" s="21" t="str">
        <f t="shared" si="4"/>
        <v>Orgánica</v>
      </c>
      <c r="F61" s="20" t="s">
        <v>532</v>
      </c>
      <c r="G61" s="41" t="s">
        <v>533</v>
      </c>
      <c r="H61" s="30" t="str">
        <f>IF(C61="", "", IFERROR(VLOOKUP(C61, 'Tabla 2'!$A$2:$D$298, 2, FALSE), ""))</f>
        <v>Local BB</v>
      </c>
      <c r="I61" s="34">
        <f>IF(C61="", "", IFERROR(VLOOKUP(C61, 'Tabla 2'!$A$2:$D$298, 3, FALSE), ""))</f>
        <v>1</v>
      </c>
      <c r="J61" s="35">
        <f>IF(C61="", "", IFERROR(VLOOKUP(C61, 'Tabla 2'!$A$2:$D$298, 4, FALSE), ""))</f>
        <v>500000</v>
      </c>
      <c r="K61" s="36" t="s">
        <v>44</v>
      </c>
      <c r="L61" s="13" t="b">
        <v>1</v>
      </c>
      <c r="M61" s="36" t="s">
        <v>46</v>
      </c>
      <c r="N61" s="36" t="s">
        <v>48</v>
      </c>
      <c r="O61" s="38" t="s">
        <v>49</v>
      </c>
      <c r="P61" s="39">
        <v>1.0</v>
      </c>
    </row>
    <row r="62" ht="22.5" customHeight="1">
      <c r="A62" s="19">
        <v>46126.0</v>
      </c>
      <c r="B62" s="20" t="s">
        <v>534</v>
      </c>
      <c r="C62" s="20" t="s">
        <v>31</v>
      </c>
      <c r="D62" s="21" t="s">
        <v>32</v>
      </c>
      <c r="E62" s="21" t="str">
        <f t="shared" si="4"/>
        <v>Orgánica</v>
      </c>
      <c r="F62" s="20" t="s">
        <v>535</v>
      </c>
      <c r="G62" s="41" t="s">
        <v>536</v>
      </c>
      <c r="H62" s="30" t="str">
        <f>IF(C62="", "", IFERROR(VLOOKUP(C62, 'Tabla 2'!$A$2:$D$298, 2, FALSE), ""))</f>
        <v>Local BB</v>
      </c>
      <c r="I62" s="34">
        <f>IF(C62="", "", IFERROR(VLOOKUP(C62, 'Tabla 2'!$A$2:$D$298, 3, FALSE), ""))</f>
        <v>1</v>
      </c>
      <c r="J62" s="35">
        <f>IF(C62="", "", IFERROR(VLOOKUP(C62, 'Tabla 2'!$A$2:$D$298, 4, FALSE), ""))</f>
        <v>900000</v>
      </c>
      <c r="K62" s="21" t="s">
        <v>44</v>
      </c>
      <c r="L62" s="13" t="b">
        <v>1</v>
      </c>
      <c r="M62" s="21" t="s">
        <v>46</v>
      </c>
      <c r="N62" s="21" t="s">
        <v>48</v>
      </c>
      <c r="O62" s="50" t="s">
        <v>49</v>
      </c>
      <c r="P62" s="51">
        <v>1.0</v>
      </c>
    </row>
    <row r="63" ht="22.5" customHeight="1">
      <c r="A63" s="19">
        <v>46126.0</v>
      </c>
      <c r="B63" s="20" t="s">
        <v>537</v>
      </c>
      <c r="C63" s="20" t="s">
        <v>488</v>
      </c>
      <c r="D63" s="21" t="s">
        <v>32</v>
      </c>
      <c r="E63" s="21" t="str">
        <f t="shared" si="4"/>
        <v>Orgánica</v>
      </c>
      <c r="F63" s="20" t="s">
        <v>538</v>
      </c>
      <c r="G63" s="41" t="s">
        <v>539</v>
      </c>
      <c r="H63" s="30" t="str">
        <f t="array" ref="H63">_xlfn.XLOOKUP(C63, 'Tabla 2'!A:A, 'Tabla 2'!B:B, "")</f>
        <v>Local BB</v>
      </c>
      <c r="I63" s="34">
        <f t="array" ref="I63">_xlfn.XLOOKUP(C63, 'Tabla 2'!A:A, 'Tabla 2'!C:C, "")</f>
        <v>3</v>
      </c>
      <c r="J63" s="35">
        <f t="array" ref="J63">_xlfn.XLOOKUP(C63, 'Tabla 2'!A:A, 'Tabla 2'!D:D, "")</f>
        <v>0</v>
      </c>
      <c r="K63" s="21" t="s">
        <v>44</v>
      </c>
      <c r="L63" s="13" t="b">
        <v>1</v>
      </c>
      <c r="M63" s="21" t="s">
        <v>46</v>
      </c>
      <c r="N63" s="21" t="s">
        <v>48</v>
      </c>
      <c r="O63" s="50" t="s">
        <v>49</v>
      </c>
      <c r="P63" s="51">
        <v>1.0</v>
      </c>
    </row>
    <row r="64" ht="22.5" customHeight="1">
      <c r="A64" s="19">
        <v>46126.0</v>
      </c>
      <c r="B64" s="20" t="s">
        <v>537</v>
      </c>
      <c r="C64" s="20" t="s">
        <v>108</v>
      </c>
      <c r="D64" s="21" t="s">
        <v>32</v>
      </c>
      <c r="E64" s="21" t="str">
        <f t="shared" si="4"/>
        <v>Orgánica</v>
      </c>
      <c r="F64" s="20" t="s">
        <v>538</v>
      </c>
      <c r="G64" s="41" t="s">
        <v>540</v>
      </c>
      <c r="H64" s="30" t="str">
        <f>IF(C64="", "", IFERROR(VLOOKUP(C64, 'Tabla 2'!$A$2:$D$298, 2, FALSE), ""))</f>
        <v>Local BB</v>
      </c>
      <c r="I64" s="34">
        <f>IF(C64="", "", IFERROR(VLOOKUP(C64, 'Tabla 2'!$A$2:$D$298, 3, FALSE), ""))</f>
        <v>1</v>
      </c>
      <c r="J64" s="35">
        <f>IF(C64="", "", IFERROR(VLOOKUP(C64, 'Tabla 2'!$A$2:$D$298, 4, FALSE), ""))</f>
        <v>1000000</v>
      </c>
      <c r="K64" s="21" t="s">
        <v>44</v>
      </c>
      <c r="L64" s="13" t="b">
        <v>1</v>
      </c>
      <c r="M64" s="21" t="s">
        <v>46</v>
      </c>
      <c r="N64" s="21" t="s">
        <v>48</v>
      </c>
      <c r="O64" s="50" t="s">
        <v>49</v>
      </c>
      <c r="P64" s="51">
        <v>1.0</v>
      </c>
    </row>
    <row r="65" ht="22.5" customHeight="1">
      <c r="A65" s="19">
        <v>46126.0</v>
      </c>
      <c r="B65" s="20" t="s">
        <v>541</v>
      </c>
      <c r="C65" s="20" t="s">
        <v>502</v>
      </c>
      <c r="D65" s="21" t="s">
        <v>32</v>
      </c>
      <c r="E65" s="21" t="str">
        <f t="shared" si="4"/>
        <v>Orgánica</v>
      </c>
      <c r="F65" s="20" t="s">
        <v>542</v>
      </c>
      <c r="G65" s="41" t="s">
        <v>543</v>
      </c>
      <c r="H65" s="30" t="str">
        <f>IF(C65="", "", IFERROR(VLOOKUP(C65, 'Tabla 2'!$A$2:$D$298, 2, FALSE), ""))</f>
        <v>Generalista Nacional</v>
      </c>
      <c r="I65" s="34">
        <f>IF(C65="", "", IFERROR(VLOOKUP(C65, 'Tabla 2'!$A$2:$D$298, 3, FALSE), ""))</f>
        <v>3</v>
      </c>
      <c r="J65" s="35">
        <f>IF(C65="", "", IFERROR(VLOOKUP(C65, 'Tabla 2'!$A$2:$D$298, 4, FALSE), ""))</f>
        <v>0</v>
      </c>
      <c r="K65" s="21" t="s">
        <v>44</v>
      </c>
      <c r="L65" s="13" t="b">
        <v>1</v>
      </c>
      <c r="M65" s="21" t="s">
        <v>46</v>
      </c>
      <c r="N65" s="21" t="s">
        <v>48</v>
      </c>
      <c r="O65" s="50" t="s">
        <v>49</v>
      </c>
      <c r="P65" s="51">
        <v>1.0</v>
      </c>
    </row>
    <row r="66" ht="22.5" customHeight="1">
      <c r="A66" s="19">
        <v>46126.0</v>
      </c>
      <c r="B66" s="20" t="s">
        <v>544</v>
      </c>
      <c r="C66" s="20" t="s">
        <v>503</v>
      </c>
      <c r="D66" s="21" t="s">
        <v>32</v>
      </c>
      <c r="E66" s="21" t="str">
        <f t="shared" si="4"/>
        <v>Orgánica</v>
      </c>
      <c r="F66" s="20" t="s">
        <v>545</v>
      </c>
      <c r="G66" s="41" t="s">
        <v>546</v>
      </c>
      <c r="H66" s="30" t="str">
        <f>IF(C66="", "", IFERROR(VLOOKUP(C66, 'Tabla 2'!$A$2:$D$298, 2, FALSE), ""))</f>
        <v>Local BB</v>
      </c>
      <c r="I66" s="34">
        <f>IF(C66="", "", IFERROR(VLOOKUP(C66, 'Tabla 2'!$A$2:$D$298, 3, FALSE), ""))</f>
        <v>3</v>
      </c>
      <c r="J66" s="35">
        <f>IF(C66="", "", IFERROR(VLOOKUP(C66, 'Tabla 2'!$A$2:$D$298, 4, FALSE), ""))</f>
        <v>0</v>
      </c>
      <c r="K66" s="21" t="s">
        <v>44</v>
      </c>
      <c r="L66" s="13" t="b">
        <v>1</v>
      </c>
      <c r="M66" s="21" t="s">
        <v>46</v>
      </c>
      <c r="N66" s="21" t="s">
        <v>48</v>
      </c>
      <c r="O66" s="50" t="s">
        <v>49</v>
      </c>
      <c r="P66" s="51">
        <v>1.0</v>
      </c>
    </row>
    <row r="67" ht="22.5" customHeight="1">
      <c r="A67" s="19">
        <v>46126.0</v>
      </c>
      <c r="B67" s="20" t="s">
        <v>547</v>
      </c>
      <c r="C67" s="20" t="s">
        <v>504</v>
      </c>
      <c r="D67" s="21" t="s">
        <v>32</v>
      </c>
      <c r="E67" s="21" t="str">
        <f t="shared" si="4"/>
        <v>Orgánica</v>
      </c>
      <c r="F67" s="20" t="s">
        <v>548</v>
      </c>
      <c r="G67" s="41" t="s">
        <v>549</v>
      </c>
      <c r="H67" s="30" t="str">
        <f>IF(C67="", "", IFERROR(VLOOKUP(C67, 'Tabla 2'!$A$2:$D$298, 2, FALSE), ""))</f>
        <v>Generalista Nacional</v>
      </c>
      <c r="I67" s="34">
        <f>IF(C67="", "", IFERROR(VLOOKUP(C67, 'Tabla 2'!$A$2:$D$298, 3, FALSE), ""))</f>
        <v>3</v>
      </c>
      <c r="J67" s="35">
        <f>IF(C67="", "", IFERROR(VLOOKUP(C67, 'Tabla 2'!$A$2:$D$298, 4, FALSE), ""))</f>
        <v>0</v>
      </c>
      <c r="K67" s="21" t="s">
        <v>44</v>
      </c>
      <c r="L67" s="13" t="b">
        <v>1</v>
      </c>
      <c r="M67" s="21" t="s">
        <v>46</v>
      </c>
      <c r="N67" s="21" t="s">
        <v>48</v>
      </c>
      <c r="O67" s="50" t="s">
        <v>49</v>
      </c>
      <c r="P67" s="51">
        <v>1.0</v>
      </c>
    </row>
    <row r="68" ht="22.5" customHeight="1">
      <c r="A68" s="19">
        <v>46126.0</v>
      </c>
      <c r="B68" s="20" t="s">
        <v>494</v>
      </c>
      <c r="C68" s="20" t="s">
        <v>91</v>
      </c>
      <c r="D68" s="21" t="s">
        <v>32</v>
      </c>
      <c r="E68" s="48" t="str">
        <f t="shared" si="4"/>
        <v>Orgánica</v>
      </c>
      <c r="F68" s="20" t="s">
        <v>550</v>
      </c>
      <c r="G68" s="41" t="s">
        <v>496</v>
      </c>
      <c r="H68" s="30" t="str">
        <f>IF(C68="", "", IFERROR(VLOOKUP(C68, 'Tabla 2'!$A$2:$D$298, 2, FALSE), ""))</f>
        <v>Local BB</v>
      </c>
      <c r="I68" s="34">
        <f>IF(C68="", "", IFERROR(VLOOKUP(C68, 'Tabla 2'!$A$2:$D$298, 3, FALSE), ""))</f>
        <v>3</v>
      </c>
      <c r="J68" s="35">
        <f>IF(C68="", "", IFERROR(VLOOKUP(C68, 'Tabla 2'!$A$2:$D$298, 4, FALSE), ""))</f>
        <v>0</v>
      </c>
      <c r="K68" s="21" t="s">
        <v>44</v>
      </c>
      <c r="L68" s="13" t="b">
        <v>1</v>
      </c>
      <c r="M68" s="21" t="s">
        <v>46</v>
      </c>
      <c r="N68" s="21" t="s">
        <v>48</v>
      </c>
      <c r="O68" s="50" t="s">
        <v>49</v>
      </c>
      <c r="P68" s="51">
        <v>1.0</v>
      </c>
    </row>
    <row r="69" ht="22.5" customHeight="1">
      <c r="A69" s="19">
        <v>46127.0</v>
      </c>
      <c r="B69" s="20" t="s">
        <v>551</v>
      </c>
      <c r="C69" s="20" t="s">
        <v>61</v>
      </c>
      <c r="D69" s="21" t="s">
        <v>140</v>
      </c>
      <c r="E69" s="48" t="str">
        <f t="shared" si="4"/>
        <v>Orgánica</v>
      </c>
      <c r="F69" s="20" t="s">
        <v>552</v>
      </c>
      <c r="G69" s="41" t="s">
        <v>553</v>
      </c>
      <c r="H69" s="30" t="str">
        <f>IF(C69="", "", IFERROR(VLOOKUP(C69, 'Tabla 2'!$A$2:$D$298, 2, FALSE), ""))</f>
        <v>Negocio Nacional</v>
      </c>
      <c r="I69" s="34">
        <f>IF(C69="", "", IFERROR(VLOOKUP(C69, 'Tabla 2'!$A$2:$D$298, 3, FALSE), ""))</f>
        <v>1</v>
      </c>
      <c r="J69" s="35">
        <f>IF(C69="", "", IFERROR(VLOOKUP(C69, 'Tabla 2'!$A$2:$D$298, 4, FALSE), ""))</f>
        <v>500000</v>
      </c>
      <c r="K69" s="21" t="s">
        <v>44</v>
      </c>
      <c r="L69" s="13" t="b">
        <v>1</v>
      </c>
      <c r="M69" s="21" t="s">
        <v>155</v>
      </c>
      <c r="N69" s="21" t="s">
        <v>184</v>
      </c>
      <c r="O69" s="50" t="s">
        <v>49</v>
      </c>
      <c r="P69" s="51">
        <v>1.0</v>
      </c>
    </row>
    <row r="70" ht="22.5" customHeight="1">
      <c r="A70" s="19">
        <v>46127.0</v>
      </c>
      <c r="B70" s="20" t="s">
        <v>554</v>
      </c>
      <c r="C70" s="20" t="s">
        <v>61</v>
      </c>
      <c r="D70" s="21" t="s">
        <v>140</v>
      </c>
      <c r="E70" s="48" t="str">
        <f t="shared" si="4"/>
        <v>Orgánica</v>
      </c>
      <c r="F70" s="20" t="s">
        <v>555</v>
      </c>
      <c r="G70" s="41" t="s">
        <v>556</v>
      </c>
      <c r="H70" s="30" t="str">
        <f>IF(C70="", "", IFERROR(VLOOKUP(C70, 'Tabla 2'!$A$2:$D$298, 2, FALSE), ""))</f>
        <v>Negocio Nacional</v>
      </c>
      <c r="I70" s="34">
        <f>IF(C70="", "", IFERROR(VLOOKUP(C70, 'Tabla 2'!$A$2:$D$298, 3, FALSE), ""))</f>
        <v>1</v>
      </c>
      <c r="J70" s="35">
        <f>IF(C70="", "", IFERROR(VLOOKUP(C70, 'Tabla 2'!$A$2:$D$298, 4, FALSE), ""))</f>
        <v>500000</v>
      </c>
      <c r="K70" s="21" t="s">
        <v>44</v>
      </c>
      <c r="L70" s="13" t="b">
        <v>1</v>
      </c>
      <c r="M70" s="21" t="s">
        <v>155</v>
      </c>
      <c r="N70" s="21" t="s">
        <v>184</v>
      </c>
      <c r="O70" s="50" t="s">
        <v>49</v>
      </c>
      <c r="P70" s="51">
        <v>1.0</v>
      </c>
    </row>
    <row r="71" ht="22.5" customHeight="1">
      <c r="A71" s="19">
        <v>46127.0</v>
      </c>
      <c r="B71" s="20" t="s">
        <v>557</v>
      </c>
      <c r="C71" s="20" t="s">
        <v>78</v>
      </c>
      <c r="D71" s="21" t="s">
        <v>140</v>
      </c>
      <c r="E71" s="48" t="str">
        <f t="shared" si="4"/>
        <v>Orgánica</v>
      </c>
      <c r="F71" s="20" t="s">
        <v>252</v>
      </c>
      <c r="G71" s="41" t="s">
        <v>558</v>
      </c>
      <c r="H71" s="30" t="str">
        <f>IF(C71="", "", IFERROR(VLOOKUP(C71, 'Tabla 2'!$A$2:$D$298, 2, FALSE), ""))</f>
        <v>Generalista Nacional</v>
      </c>
      <c r="I71" s="34">
        <f>IF(C71="", "", IFERROR(VLOOKUP(C71, 'Tabla 2'!$A$2:$D$298, 3, FALSE), ""))</f>
        <v>1</v>
      </c>
      <c r="J71" s="35">
        <f>IF(C71="", "", IFERROR(VLOOKUP(C71, 'Tabla 2'!$A$2:$D$298, 4, FALSE), ""))</f>
        <v>200000</v>
      </c>
      <c r="K71" s="21" t="s">
        <v>44</v>
      </c>
      <c r="L71" s="13" t="b">
        <v>1</v>
      </c>
      <c r="M71" s="21" t="s">
        <v>155</v>
      </c>
      <c r="N71" s="21" t="s">
        <v>559</v>
      </c>
      <c r="O71" s="50" t="s">
        <v>40</v>
      </c>
      <c r="P71" s="51">
        <v>1.0</v>
      </c>
    </row>
    <row r="72" ht="22.5" customHeight="1">
      <c r="A72" s="19">
        <v>46127.0</v>
      </c>
      <c r="B72" s="20" t="s">
        <v>560</v>
      </c>
      <c r="C72" s="20" t="s">
        <v>78</v>
      </c>
      <c r="D72" s="21" t="s">
        <v>140</v>
      </c>
      <c r="E72" s="48" t="str">
        <f t="shared" si="4"/>
        <v>Orgánica</v>
      </c>
      <c r="F72" s="20" t="s">
        <v>252</v>
      </c>
      <c r="G72" s="41" t="s">
        <v>561</v>
      </c>
      <c r="H72" s="30" t="str">
        <f>IF(C72="", "", IFERROR(VLOOKUP(C72, 'Tabla 2'!$A$2:$D$298, 2, FALSE), ""))</f>
        <v>Generalista Nacional</v>
      </c>
      <c r="I72" s="34">
        <f>IF(C72="", "", IFERROR(VLOOKUP(C72, 'Tabla 2'!$A$2:$D$298, 3, FALSE), ""))</f>
        <v>1</v>
      </c>
      <c r="J72" s="35">
        <f>IF(C72="", "", IFERROR(VLOOKUP(C72, 'Tabla 2'!$A$2:$D$298, 4, FALSE), ""))</f>
        <v>200000</v>
      </c>
      <c r="K72" s="21" t="s">
        <v>44</v>
      </c>
      <c r="L72" s="13" t="b">
        <v>1</v>
      </c>
      <c r="M72" s="21" t="s">
        <v>46</v>
      </c>
      <c r="N72" s="21" t="s">
        <v>167</v>
      </c>
      <c r="O72" s="50" t="s">
        <v>289</v>
      </c>
      <c r="P72" s="51">
        <v>1.0</v>
      </c>
    </row>
    <row r="73" ht="22.5" customHeight="1">
      <c r="A73" s="19">
        <v>46127.0</v>
      </c>
      <c r="B73" s="20" t="s">
        <v>562</v>
      </c>
      <c r="C73" s="20" t="s">
        <v>41</v>
      </c>
      <c r="D73" s="21" t="s">
        <v>140</v>
      </c>
      <c r="E73" s="48" t="str">
        <f t="shared" si="4"/>
        <v>Orgánica</v>
      </c>
      <c r="F73" s="20" t="s">
        <v>563</v>
      </c>
      <c r="G73" s="41" t="s">
        <v>564</v>
      </c>
      <c r="H73" s="30" t="str">
        <f>IF(C73="", "", IFERROR(VLOOKUP(C73, 'Tabla 2'!$A$2:$D$298, 2, FALSE), ""))</f>
        <v>Negocio Nacional</v>
      </c>
      <c r="I73" s="34">
        <f>IF(C73="", "", IFERROR(VLOOKUP(C73, 'Tabla 2'!$A$2:$D$298, 3, FALSE), ""))</f>
        <v>1</v>
      </c>
      <c r="J73" s="35">
        <f>IF(C73="", "", IFERROR(VLOOKUP(C73, 'Tabla 2'!$A$2:$D$298, 4, FALSE), ""))</f>
        <v>1200000</v>
      </c>
      <c r="K73" s="21" t="s">
        <v>44</v>
      </c>
      <c r="L73" s="13" t="b">
        <v>1</v>
      </c>
      <c r="M73" s="21" t="s">
        <v>155</v>
      </c>
      <c r="N73" s="21" t="s">
        <v>158</v>
      </c>
      <c r="O73" s="50" t="s">
        <v>40</v>
      </c>
      <c r="P73" s="51">
        <v>1.0</v>
      </c>
    </row>
    <row r="74" ht="22.5" customHeight="1">
      <c r="A74" s="19">
        <v>46127.0</v>
      </c>
      <c r="B74" s="20" t="s">
        <v>562</v>
      </c>
      <c r="C74" s="20" t="s">
        <v>41</v>
      </c>
      <c r="D74" s="21" t="s">
        <v>140</v>
      </c>
      <c r="E74" s="48" t="str">
        <f t="shared" si="4"/>
        <v>Orgánica</v>
      </c>
      <c r="F74" s="20" t="s">
        <v>552</v>
      </c>
      <c r="G74" s="41" t="s">
        <v>565</v>
      </c>
      <c r="H74" s="30" t="str">
        <f>IF(C74="", "", IFERROR(VLOOKUP(C74, 'Tabla 2'!$A$2:$D$298, 2, FALSE), ""))</f>
        <v>Negocio Nacional</v>
      </c>
      <c r="I74" s="34">
        <f>IF(C74="", "", IFERROR(VLOOKUP(C74, 'Tabla 2'!$A$2:$D$298, 3, FALSE), ""))</f>
        <v>1</v>
      </c>
      <c r="J74" s="35">
        <f>IF(C74="", "", IFERROR(VLOOKUP(C74, 'Tabla 2'!$A$2:$D$298, 4, FALSE), ""))</f>
        <v>1200000</v>
      </c>
      <c r="K74" s="21" t="s">
        <v>44</v>
      </c>
      <c r="L74" s="13" t="b">
        <v>1</v>
      </c>
      <c r="M74" s="21" t="s">
        <v>155</v>
      </c>
      <c r="N74" s="21" t="s">
        <v>158</v>
      </c>
      <c r="O74" s="50" t="s">
        <v>40</v>
      </c>
      <c r="P74" s="51">
        <v>1.0</v>
      </c>
    </row>
    <row r="75" ht="22.5" customHeight="1">
      <c r="A75" s="19">
        <v>46149.0</v>
      </c>
      <c r="B75" s="20" t="s">
        <v>566</v>
      </c>
      <c r="C75" s="20" t="s">
        <v>411</v>
      </c>
      <c r="D75" s="21" t="s">
        <v>140</v>
      </c>
      <c r="E75" s="21" t="s">
        <v>34</v>
      </c>
      <c r="F75" s="20" t="s">
        <v>567</v>
      </c>
      <c r="G75" s="27" t="s">
        <v>568</v>
      </c>
      <c r="H75" s="30" t="str">
        <f>IF(C75="", "", IFERROR(VLOOKUP(C75, 'Tabla 2'!$A$2:$D$298, 2, FALSE), ""))</f>
        <v>Local BB</v>
      </c>
      <c r="I75" s="34">
        <f>IF(C75="", "", IFERROR(VLOOKUP(C75, 'Tabla 2'!$A$2:$D$298, 3, FALSE), ""))</f>
        <v>3</v>
      </c>
      <c r="J75" s="35">
        <f>IF(C75="", "", IFERROR(VLOOKUP(C75, 'Tabla 2'!$A$2:$D$298, 4, FALSE), ""))</f>
        <v>0</v>
      </c>
      <c r="K75" s="80" t="s">
        <v>44</v>
      </c>
      <c r="L75" s="13" t="b">
        <v>1</v>
      </c>
      <c r="M75" s="80" t="s">
        <v>128</v>
      </c>
      <c r="N75" s="80" t="s">
        <v>129</v>
      </c>
      <c r="O75" s="81" t="s">
        <v>49</v>
      </c>
      <c r="P75" s="82">
        <v>1.0</v>
      </c>
    </row>
    <row r="76" ht="22.5" customHeight="1">
      <c r="A76" s="19">
        <v>46150.0</v>
      </c>
      <c r="B76" s="20" t="s">
        <v>569</v>
      </c>
      <c r="C76" s="20" t="s">
        <v>86</v>
      </c>
      <c r="D76" s="21" t="s">
        <v>140</v>
      </c>
      <c r="E76" s="21" t="s">
        <v>34</v>
      </c>
      <c r="F76" s="20" t="s">
        <v>570</v>
      </c>
      <c r="G76" s="27" t="s">
        <v>571</v>
      </c>
      <c r="H76" s="50" t="s">
        <v>42</v>
      </c>
      <c r="I76" s="34">
        <f>IF(C76="", "", IFERROR(VLOOKUP(C76, 'Tabla 2'!$A$2:$D$298, 3, FALSE), ""))</f>
        <v>1</v>
      </c>
      <c r="J76" s="35">
        <f>IF(C76="", "", IFERROR(VLOOKUP(C76, 'Tabla 2'!$A$2:$D$298, 4, FALSE), ""))</f>
        <v>500000</v>
      </c>
      <c r="K76" s="80" t="s">
        <v>44</v>
      </c>
      <c r="L76" s="13" t="b">
        <v>1</v>
      </c>
      <c r="M76" s="80" t="s">
        <v>128</v>
      </c>
      <c r="N76" s="80" t="s">
        <v>129</v>
      </c>
      <c r="O76" s="81" t="s">
        <v>49</v>
      </c>
      <c r="P76" s="82">
        <v>1.0</v>
      </c>
    </row>
    <row r="77" ht="22.5" customHeight="1">
      <c r="A77" s="19">
        <v>46152.0</v>
      </c>
      <c r="B77" s="20" t="s">
        <v>572</v>
      </c>
      <c r="C77" s="20" t="s">
        <v>443</v>
      </c>
      <c r="D77" s="21" t="s">
        <v>32</v>
      </c>
      <c r="E77" s="21" t="s">
        <v>34</v>
      </c>
      <c r="F77" s="20" t="s">
        <v>573</v>
      </c>
      <c r="G77" s="41" t="s">
        <v>574</v>
      </c>
      <c r="H77" s="30" t="str">
        <f>IF(C77="", "", IFERROR(VLOOKUP(C77, 'Tabla 2'!$A$2:$D$298, 2, FALSE), ""))</f>
        <v>Generalista Nacional</v>
      </c>
      <c r="I77" s="34">
        <f>IF(C77="", "", IFERROR(VLOOKUP(C77, 'Tabla 2'!$A$2:$D$298, 3, FALSE), ""))</f>
        <v>3</v>
      </c>
      <c r="J77" s="35">
        <f>IF(C77="", "", IFERROR(VLOOKUP(C77, 'Tabla 2'!$A$2:$D$298, 4, FALSE), ""))</f>
        <v>0</v>
      </c>
      <c r="K77" s="80" t="s">
        <v>44</v>
      </c>
      <c r="L77" s="13" t="b">
        <v>1</v>
      </c>
      <c r="M77" s="80" t="s">
        <v>128</v>
      </c>
      <c r="N77" s="80" t="s">
        <v>575</v>
      </c>
      <c r="O77" s="81" t="s">
        <v>49</v>
      </c>
      <c r="P77" s="82">
        <v>1.0</v>
      </c>
    </row>
    <row r="78" ht="22.5" customHeight="1">
      <c r="A78" s="19">
        <v>46157.0</v>
      </c>
      <c r="B78" s="20" t="s">
        <v>576</v>
      </c>
      <c r="C78" s="20" t="s">
        <v>68</v>
      </c>
      <c r="D78" s="21" t="s">
        <v>32</v>
      </c>
      <c r="E78" s="21" t="s">
        <v>34</v>
      </c>
      <c r="F78" s="20" t="s">
        <v>577</v>
      </c>
      <c r="G78" s="41" t="s">
        <v>578</v>
      </c>
      <c r="H78" s="30" t="str">
        <f>IF(C78="", "", IFERROR(VLOOKUP(C78, 'Tabla 2'!$A$2:$D$298, 2, FALSE), ""))</f>
        <v>Negocio Nacional</v>
      </c>
      <c r="I78" s="34">
        <f>IF(C78="", "", IFERROR(VLOOKUP(C78, 'Tabla 2'!$A$2:$D$298, 3, FALSE), ""))</f>
        <v>1</v>
      </c>
      <c r="J78" s="35">
        <f>IF(C78="", "", IFERROR(VLOOKUP(C78, 'Tabla 2'!$A$2:$D$298, 4, FALSE), ""))</f>
        <v>1800000</v>
      </c>
      <c r="K78" s="80" t="s">
        <v>44</v>
      </c>
      <c r="L78" s="13" t="b">
        <v>1</v>
      </c>
      <c r="M78" s="80" t="s">
        <v>155</v>
      </c>
      <c r="N78" s="80" t="s">
        <v>559</v>
      </c>
      <c r="O78" s="50" t="s">
        <v>40</v>
      </c>
      <c r="P78" s="82">
        <v>1.0</v>
      </c>
    </row>
    <row r="79" ht="22.5" customHeight="1">
      <c r="A79" s="19">
        <v>46162.0</v>
      </c>
      <c r="B79" s="20" t="s">
        <v>579</v>
      </c>
      <c r="C79" s="20" t="s">
        <v>489</v>
      </c>
      <c r="D79" s="21" t="s">
        <v>32</v>
      </c>
      <c r="E79" s="21" t="s">
        <v>34</v>
      </c>
      <c r="F79" s="20" t="s">
        <v>580</v>
      </c>
      <c r="G79" s="27" t="s">
        <v>581</v>
      </c>
      <c r="H79" s="30" t="str">
        <f>IF(C79="", "", IFERROR(VLOOKUP(C79, 'Tabla 2'!$A$2:$D$298, 2, FALSE), ""))</f>
        <v>Generalista Nacional</v>
      </c>
      <c r="I79" s="34">
        <f>IF(C79="", "", IFERROR(VLOOKUP(C79, 'Tabla 2'!$A$2:$D$298, 3, FALSE), ""))</f>
        <v>3</v>
      </c>
      <c r="J79" s="35">
        <f>IF(C79="", "", IFERROR(VLOOKUP(C79, 'Tabla 2'!$A$2:$D$298, 4, FALSE), ""))</f>
        <v>0</v>
      </c>
      <c r="K79" s="80" t="s">
        <v>44</v>
      </c>
      <c r="L79" s="83"/>
      <c r="M79" s="80" t="s">
        <v>46</v>
      </c>
      <c r="N79" s="80" t="s">
        <v>48</v>
      </c>
      <c r="O79" s="81" t="s">
        <v>49</v>
      </c>
      <c r="P79" s="82">
        <v>1.0</v>
      </c>
    </row>
    <row r="80" ht="22.5" customHeight="1">
      <c r="A80" s="19">
        <v>46162.0</v>
      </c>
      <c r="B80" s="20" t="s">
        <v>576</v>
      </c>
      <c r="C80" s="20" t="s">
        <v>442</v>
      </c>
      <c r="D80" s="21" t="s">
        <v>32</v>
      </c>
      <c r="E80" s="21" t="s">
        <v>34</v>
      </c>
      <c r="F80" s="20" t="s">
        <v>582</v>
      </c>
      <c r="G80" s="41" t="s">
        <v>583</v>
      </c>
      <c r="H80" s="30" t="str">
        <f>IF(C80="", "", IFERROR(VLOOKUP(C80, 'Tabla 2'!$A$2:$D$298, 2, FALSE), ""))</f>
        <v>Generalista Nacional</v>
      </c>
      <c r="I80" s="34">
        <f>IF(C80="", "", IFERROR(VLOOKUP(C80, 'Tabla 2'!$A$2:$D$298, 3, FALSE), ""))</f>
        <v>3</v>
      </c>
      <c r="J80" s="35">
        <f>IF(C80="", "", IFERROR(VLOOKUP(C80, 'Tabla 2'!$A$2:$D$298, 4, FALSE), ""))</f>
        <v>0</v>
      </c>
      <c r="K80" s="80" t="s">
        <v>44</v>
      </c>
      <c r="L80" s="13" t="b">
        <v>1</v>
      </c>
      <c r="M80" s="80" t="s">
        <v>155</v>
      </c>
      <c r="N80" s="80" t="s">
        <v>559</v>
      </c>
      <c r="O80" s="50" t="s">
        <v>40</v>
      </c>
      <c r="P80" s="82">
        <v>1.0</v>
      </c>
    </row>
    <row r="81" ht="22.5" customHeight="1">
      <c r="A81" s="19">
        <v>46163.0</v>
      </c>
      <c r="B81" s="20" t="s">
        <v>576</v>
      </c>
      <c r="C81" s="20" t="s">
        <v>441</v>
      </c>
      <c r="D81" s="21" t="s">
        <v>32</v>
      </c>
      <c r="E81" s="21" t="s">
        <v>34</v>
      </c>
      <c r="F81" s="20" t="s">
        <v>584</v>
      </c>
      <c r="G81" s="41" t="s">
        <v>585</v>
      </c>
      <c r="H81" s="30" t="str">
        <f>IF(C81="", "", IFERROR(VLOOKUP(C81, 'Tabla 2'!$A$2:$D$298, 2, FALSE), ""))</f>
        <v>Generalista Nacional</v>
      </c>
      <c r="I81" s="34">
        <f>IF(C81="", "", IFERROR(VLOOKUP(C81, 'Tabla 2'!$A$2:$D$298, 3, FALSE), ""))</f>
        <v>3</v>
      </c>
      <c r="J81" s="35">
        <f>IF(C81="", "", IFERROR(VLOOKUP(C81, 'Tabla 2'!$A$2:$D$298, 4, FALSE), ""))</f>
        <v>0</v>
      </c>
      <c r="K81" s="80" t="s">
        <v>44</v>
      </c>
      <c r="L81" s="13" t="b">
        <v>1</v>
      </c>
      <c r="M81" s="80" t="s">
        <v>155</v>
      </c>
      <c r="N81" s="80" t="s">
        <v>559</v>
      </c>
      <c r="O81" s="50" t="s">
        <v>40</v>
      </c>
      <c r="P81" s="82">
        <v>1.0</v>
      </c>
    </row>
    <row r="82" ht="22.5" customHeight="1">
      <c r="A82" s="19">
        <v>46163.0</v>
      </c>
      <c r="B82" s="20" t="s">
        <v>576</v>
      </c>
      <c r="C82" s="20" t="s">
        <v>183</v>
      </c>
      <c r="D82" s="21" t="s">
        <v>32</v>
      </c>
      <c r="E82" s="21" t="s">
        <v>34</v>
      </c>
      <c r="F82" s="20" t="s">
        <v>586</v>
      </c>
      <c r="G82" s="41" t="s">
        <v>587</v>
      </c>
      <c r="H82" s="30" t="str">
        <f>IF(C82="", "", IFERROR(VLOOKUP(C82, 'Tabla 2'!$A$2:$D$298, 2, FALSE), ""))</f>
        <v>Generalista Nacional</v>
      </c>
      <c r="I82" s="34">
        <f>IF(C82="", "", IFERROR(VLOOKUP(C82, 'Tabla 2'!$A$2:$D$298, 3, FALSE), ""))</f>
        <v>3</v>
      </c>
      <c r="J82" s="35">
        <f>IF(C82="", "", IFERROR(VLOOKUP(C82, 'Tabla 2'!$A$2:$D$298, 4, FALSE), ""))</f>
        <v>0</v>
      </c>
      <c r="K82" s="80" t="s">
        <v>44</v>
      </c>
      <c r="L82" s="13" t="b">
        <v>1</v>
      </c>
      <c r="M82" s="80" t="s">
        <v>155</v>
      </c>
      <c r="N82" s="80" t="s">
        <v>559</v>
      </c>
      <c r="O82" s="50" t="s">
        <v>40</v>
      </c>
      <c r="P82" s="82">
        <v>1.0</v>
      </c>
    </row>
    <row r="83" ht="22.5" customHeight="1">
      <c r="A83" s="19">
        <v>46164.0</v>
      </c>
      <c r="B83" s="20" t="s">
        <v>588</v>
      </c>
      <c r="C83" s="20" t="s">
        <v>61</v>
      </c>
      <c r="D83" s="21" t="s">
        <v>32</v>
      </c>
      <c r="E83" s="21" t="s">
        <v>34</v>
      </c>
      <c r="F83" s="20" t="s">
        <v>589</v>
      </c>
      <c r="G83" s="41" t="s">
        <v>590</v>
      </c>
      <c r="H83" s="30" t="str">
        <f>IF(C83="", "", IFERROR(VLOOKUP(C83, 'Tabla 2'!$A$2:$D$298, 2, FALSE), ""))</f>
        <v>Negocio Nacional</v>
      </c>
      <c r="I83" s="34">
        <f>IF(C83="", "", IFERROR(VLOOKUP(C83, 'Tabla 2'!$A$2:$D$298, 3, FALSE), ""))</f>
        <v>1</v>
      </c>
      <c r="J83" s="35">
        <f>IF(C83="", "", IFERROR(VLOOKUP(C83, 'Tabla 2'!$A$2:$D$298, 4, FALSE), ""))</f>
        <v>500000</v>
      </c>
      <c r="K83" s="80" t="s">
        <v>44</v>
      </c>
      <c r="L83" s="83"/>
      <c r="M83" s="80" t="s">
        <v>155</v>
      </c>
      <c r="N83" s="80" t="s">
        <v>158</v>
      </c>
      <c r="O83" s="50" t="s">
        <v>40</v>
      </c>
      <c r="P83" s="82">
        <v>1.0</v>
      </c>
    </row>
    <row r="84" ht="22.5" customHeight="1">
      <c r="A84" s="19">
        <v>46164.0</v>
      </c>
      <c r="B84" s="20" t="s">
        <v>591</v>
      </c>
      <c r="C84" s="50" t="s">
        <v>166</v>
      </c>
      <c r="D84" s="21" t="s">
        <v>140</v>
      </c>
      <c r="E84" s="21" t="s">
        <v>34</v>
      </c>
      <c r="F84" s="20" t="s">
        <v>592</v>
      </c>
      <c r="G84" s="84" t="s">
        <v>593</v>
      </c>
      <c r="H84" s="50" t="str">
        <f>IF(C84="", "", IFERROR(VLOOKUP(C84, 'Tabla 2'!$A$2:$D$298, 2, FALSE), ""))</f>
        <v>Local BB</v>
      </c>
      <c r="I84" s="13">
        <f>IF(C84="", "", IFERROR(VLOOKUP(C84, 'Tabla 2'!$A$2:$D$298, 3, FALSE), ""))</f>
        <v>2</v>
      </c>
      <c r="J84" s="55">
        <f>IF(C84="", "", IFERROR(VLOOKUP(C84, 'Tabla 2'!$A$2:$D$298, 4, FALSE), ""))</f>
        <v>0</v>
      </c>
      <c r="K84" s="21" t="s">
        <v>44</v>
      </c>
      <c r="L84" s="13" t="b">
        <v>1</v>
      </c>
      <c r="M84" s="21" t="s">
        <v>46</v>
      </c>
      <c r="N84" s="21" t="s">
        <v>48</v>
      </c>
      <c r="O84" s="50" t="s">
        <v>49</v>
      </c>
      <c r="P84" s="51">
        <v>1.0</v>
      </c>
    </row>
    <row r="85" ht="22.5" customHeight="1">
      <c r="A85" s="19">
        <v>46164.0</v>
      </c>
      <c r="B85" s="85" t="s">
        <v>594</v>
      </c>
      <c r="C85" s="20" t="s">
        <v>70</v>
      </c>
      <c r="D85" s="21" t="s">
        <v>140</v>
      </c>
      <c r="E85" s="21" t="s">
        <v>34</v>
      </c>
      <c r="F85" s="20" t="s">
        <v>595</v>
      </c>
      <c r="G85" s="84" t="s">
        <v>596</v>
      </c>
      <c r="H85" s="50" t="str">
        <f>IF(C85="", "", IFERROR(VLOOKUP(C85, 'Tabla 2'!$A$2:$D$298, 2, FALSE), ""))</f>
        <v>Local BB</v>
      </c>
      <c r="I85" s="13">
        <f>IF(C85="", "", IFERROR(VLOOKUP(C85, 'Tabla 2'!$A$2:$D$298, 3, FALSE), ""))</f>
        <v>1</v>
      </c>
      <c r="J85" s="55">
        <f>IF(C85="", "", IFERROR(VLOOKUP(C85, 'Tabla 2'!$A$2:$D$298, 4, FALSE), ""))</f>
        <v>800000</v>
      </c>
      <c r="K85" s="21" t="s">
        <v>44</v>
      </c>
      <c r="L85" s="13" t="b">
        <v>1</v>
      </c>
      <c r="M85" s="21" t="s">
        <v>46</v>
      </c>
      <c r="N85" s="21" t="s">
        <v>48</v>
      </c>
      <c r="O85" s="50" t="s">
        <v>49</v>
      </c>
      <c r="P85" s="51">
        <v>1.0</v>
      </c>
    </row>
    <row r="86" ht="22.5" customHeight="1">
      <c r="A86" s="19">
        <v>46164.0</v>
      </c>
      <c r="B86" s="85" t="s">
        <v>597</v>
      </c>
      <c r="C86" s="20" t="s">
        <v>56</v>
      </c>
      <c r="D86" s="21" t="s">
        <v>140</v>
      </c>
      <c r="E86" s="21" t="s">
        <v>34</v>
      </c>
      <c r="F86" s="20" t="s">
        <v>598</v>
      </c>
      <c r="G86" s="84" t="s">
        <v>599</v>
      </c>
      <c r="H86" s="50" t="str">
        <f>IF(C86="", "", IFERROR(VLOOKUP(C86, 'Tabla 2'!$A$2:$D$298, 2, FALSE), ""))</f>
        <v>Local BB</v>
      </c>
      <c r="I86" s="13">
        <f>IF(C86="", "", IFERROR(VLOOKUP(C86, 'Tabla 2'!$A$2:$D$298, 3, FALSE), ""))</f>
        <v>1</v>
      </c>
      <c r="J86" s="55">
        <f>IF(C86="", "", IFERROR(VLOOKUP(C86, 'Tabla 2'!$A$2:$D$298, 4, FALSE), ""))</f>
        <v>500000</v>
      </c>
      <c r="K86" s="21" t="s">
        <v>44</v>
      </c>
      <c r="L86" s="13" t="b">
        <v>1</v>
      </c>
      <c r="M86" s="21" t="s">
        <v>46</v>
      </c>
      <c r="N86" s="21" t="s">
        <v>48</v>
      </c>
      <c r="O86" s="50" t="s">
        <v>49</v>
      </c>
      <c r="P86" s="51">
        <v>1.0</v>
      </c>
    </row>
    <row r="87" ht="22.5" customHeight="1">
      <c r="A87" s="19">
        <v>46164.0</v>
      </c>
      <c r="B87" s="20" t="s">
        <v>597</v>
      </c>
      <c r="C87" s="20" t="s">
        <v>411</v>
      </c>
      <c r="D87" s="21" t="s">
        <v>140</v>
      </c>
      <c r="E87" s="21" t="s">
        <v>34</v>
      </c>
      <c r="F87" s="20" t="s">
        <v>600</v>
      </c>
      <c r="G87" s="84" t="s">
        <v>601</v>
      </c>
      <c r="H87" s="50" t="str">
        <f>IF(C87="", "", IFERROR(VLOOKUP(C87, 'Tabla 2'!$A$2:$D$298, 2, FALSE), ""))</f>
        <v>Local BB</v>
      </c>
      <c r="I87" s="13">
        <f>IF(C87="", "", IFERROR(VLOOKUP(C87, 'Tabla 2'!$A$2:$D$298, 3, FALSE), ""))</f>
        <v>3</v>
      </c>
      <c r="J87" s="55">
        <f>IF(C87="", "", IFERROR(VLOOKUP(C87, 'Tabla 2'!$A$2:$D$298, 4, FALSE), ""))</f>
        <v>0</v>
      </c>
      <c r="K87" s="21" t="s">
        <v>44</v>
      </c>
      <c r="L87" s="13" t="b">
        <v>1</v>
      </c>
      <c r="M87" s="21" t="s">
        <v>46</v>
      </c>
      <c r="N87" s="21" t="s">
        <v>48</v>
      </c>
      <c r="O87" s="50" t="s">
        <v>49</v>
      </c>
      <c r="P87" s="51">
        <v>1.0</v>
      </c>
    </row>
    <row r="88" ht="22.5" customHeight="1">
      <c r="A88" s="19">
        <v>46169.0</v>
      </c>
      <c r="B88" s="50" t="s">
        <v>602</v>
      </c>
      <c r="C88" s="50" t="s">
        <v>153</v>
      </c>
      <c r="D88" s="21" t="s">
        <v>32</v>
      </c>
      <c r="E88" s="21" t="s">
        <v>34</v>
      </c>
      <c r="F88" s="20" t="s">
        <v>603</v>
      </c>
      <c r="G88" s="84" t="s">
        <v>604</v>
      </c>
      <c r="H88" s="30" t="str">
        <f>IF(C88="", "", IFERROR(VLOOKUP(C88, 'Tabla 2'!$A$2:$D$298, 2, FALSE), ""))</f>
        <v>Negocio Nacional</v>
      </c>
      <c r="I88" s="34">
        <f>IF(C88="", "", IFERROR(VLOOKUP(C88, 'Tabla 2'!$A$2:$D$298, 3, FALSE), ""))</f>
        <v>2</v>
      </c>
      <c r="J88" s="35">
        <f>IF(C88="", "", IFERROR(VLOOKUP(C88, 'Tabla 2'!$A$2:$D$298, 4, FALSE), ""))</f>
        <v>0</v>
      </c>
      <c r="K88" s="21" t="s">
        <v>44</v>
      </c>
      <c r="L88" s="83"/>
      <c r="M88" s="21" t="s">
        <v>128</v>
      </c>
      <c r="N88" s="21" t="s">
        <v>129</v>
      </c>
      <c r="O88" s="50" t="s">
        <v>49</v>
      </c>
      <c r="P88" s="51">
        <v>1.0</v>
      </c>
    </row>
    <row r="89" ht="22.5" customHeight="1">
      <c r="A89" s="19">
        <v>46169.0</v>
      </c>
      <c r="B89" s="50" t="s">
        <v>605</v>
      </c>
      <c r="C89" s="50" t="s">
        <v>405</v>
      </c>
      <c r="D89" s="21" t="s">
        <v>32</v>
      </c>
      <c r="E89" s="21" t="s">
        <v>34</v>
      </c>
      <c r="F89" s="20" t="s">
        <v>606</v>
      </c>
      <c r="G89" s="84" t="s">
        <v>607</v>
      </c>
      <c r="H89" s="30" t="str">
        <f>IF(C89="", "", IFERROR(VLOOKUP(C89, 'Tabla 2'!$A$2:$D$298, 2, FALSE), ""))</f>
        <v>Generalista Nacional</v>
      </c>
      <c r="I89" s="34">
        <f>IF(C89="", "", IFERROR(VLOOKUP(C89, 'Tabla 2'!$A$2:$D$298, 3, FALSE), ""))</f>
        <v>3</v>
      </c>
      <c r="J89" s="35">
        <f>IF(C89="", "", IFERROR(VLOOKUP(C89, 'Tabla 2'!$A$2:$D$298, 4, FALSE), ""))</f>
        <v>0</v>
      </c>
      <c r="K89" s="21" t="s">
        <v>44</v>
      </c>
      <c r="L89" s="13" t="b">
        <v>1</v>
      </c>
      <c r="M89" s="21" t="s">
        <v>155</v>
      </c>
      <c r="N89" s="21" t="s">
        <v>559</v>
      </c>
      <c r="O89" s="50" t="s">
        <v>40</v>
      </c>
      <c r="P89" s="51">
        <v>1.0</v>
      </c>
    </row>
    <row r="90" ht="22.5" customHeight="1">
      <c r="A90" s="19">
        <v>46169.0</v>
      </c>
      <c r="B90" s="50" t="s">
        <v>605</v>
      </c>
      <c r="C90" s="50" t="s">
        <v>154</v>
      </c>
      <c r="D90" s="21" t="s">
        <v>32</v>
      </c>
      <c r="E90" s="21" t="s">
        <v>34</v>
      </c>
      <c r="F90" s="20" t="s">
        <v>608</v>
      </c>
      <c r="G90" s="84" t="s">
        <v>609</v>
      </c>
      <c r="H90" s="30" t="str">
        <f>IF(C90="", "", IFERROR(VLOOKUP(C90, 'Tabla 2'!$A$2:$D$298, 2, FALSE), ""))</f>
        <v>Negocio Nacional</v>
      </c>
      <c r="I90" s="34">
        <f>IF(C90="", "", IFERROR(VLOOKUP(C90, 'Tabla 2'!$A$2:$D$298, 3, FALSE), ""))</f>
        <v>2</v>
      </c>
      <c r="J90" s="35">
        <f>IF(C90="", "", IFERROR(VLOOKUP(C90, 'Tabla 2'!$A$2:$D$298, 4, FALSE), ""))</f>
        <v>0</v>
      </c>
      <c r="K90" s="21" t="s">
        <v>44</v>
      </c>
      <c r="L90" s="13" t="b">
        <v>1</v>
      </c>
      <c r="M90" s="21" t="s">
        <v>155</v>
      </c>
      <c r="N90" s="21" t="s">
        <v>559</v>
      </c>
      <c r="O90" s="50" t="s">
        <v>40</v>
      </c>
      <c r="P90" s="51">
        <v>1.0</v>
      </c>
    </row>
    <row r="91" ht="22.5" customHeight="1">
      <c r="A91" s="19">
        <v>46169.0</v>
      </c>
      <c r="B91" s="50" t="s">
        <v>610</v>
      </c>
      <c r="C91" s="50" t="s">
        <v>490</v>
      </c>
      <c r="D91" s="21" t="s">
        <v>32</v>
      </c>
      <c r="E91" s="21" t="s">
        <v>34</v>
      </c>
      <c r="F91" s="20" t="s">
        <v>611</v>
      </c>
      <c r="G91" s="84" t="s">
        <v>612</v>
      </c>
      <c r="H91" s="30" t="str">
        <f>IF(C91="", "", IFERROR(VLOOKUP(C91, 'Tabla 2'!$A$2:$D$298, 2, FALSE), ""))</f>
        <v>Generalista Nacional</v>
      </c>
      <c r="I91" s="34">
        <f>IF(C91="", "", IFERROR(VLOOKUP(C91, 'Tabla 2'!$A$2:$D$298, 3, FALSE), ""))</f>
        <v>3</v>
      </c>
      <c r="J91" s="35">
        <f>IF(C91="", "", IFERROR(VLOOKUP(C91, 'Tabla 2'!$A$2:$D$298, 4, FALSE), ""))</f>
        <v>0</v>
      </c>
      <c r="K91" s="21" t="s">
        <v>44</v>
      </c>
      <c r="L91" s="13" t="b">
        <v>1</v>
      </c>
      <c r="M91" s="21" t="s">
        <v>155</v>
      </c>
      <c r="N91" s="21" t="s">
        <v>559</v>
      </c>
      <c r="O91" s="50" t="s">
        <v>40</v>
      </c>
      <c r="P91" s="51">
        <v>1.0</v>
      </c>
    </row>
    <row r="92" ht="22.5" customHeight="1">
      <c r="A92" s="19">
        <v>46174.0</v>
      </c>
      <c r="B92" s="20" t="s">
        <v>613</v>
      </c>
      <c r="C92" s="50" t="s">
        <v>166</v>
      </c>
      <c r="D92" s="21" t="s">
        <v>140</v>
      </c>
      <c r="E92" s="21" t="s">
        <v>34</v>
      </c>
      <c r="F92" s="20" t="s">
        <v>614</v>
      </c>
      <c r="G92" s="41" t="s">
        <v>615</v>
      </c>
      <c r="H92" s="30" t="str">
        <f>IF($C92="ArgenPorts", VLOOKUP("Argen Ports web", 'Tabla 2'!$A$1:$D$301, 2, FALSE), VLOOKUP($C92, 'Tabla 2'!$A$1:$D$301, 2, FALSE))</f>
        <v>Local BB</v>
      </c>
      <c r="I92" s="34">
        <f>IF($C92="ArgenPorts", VLOOKUP("Argen Ports web", 'Tabla 2'!$A$1:$D$301, 3, FALSE), VLOOKUP($C92, 'Tabla 2'!$A$1:$D$301, 3, FALSE))</f>
        <v>2</v>
      </c>
      <c r="J92" s="35">
        <f>IF($C92="ArgenPorts", VLOOKUP("Argen Ports web", 'Tabla 2'!$A$1:$D$301, 4, FALSE), VLOOKUP($C92, 'Tabla 2'!$A$1:$D$301, 4, FALSE))</f>
        <v>0</v>
      </c>
      <c r="K92" s="21" t="s">
        <v>44</v>
      </c>
      <c r="L92" s="13" t="b">
        <v>1</v>
      </c>
      <c r="M92" s="21" t="s">
        <v>46</v>
      </c>
      <c r="N92" s="21" t="s">
        <v>167</v>
      </c>
      <c r="O92" s="50" t="s">
        <v>616</v>
      </c>
      <c r="P92" s="51">
        <v>1.0</v>
      </c>
    </row>
    <row r="93" ht="22.5" customHeight="1">
      <c r="A93" s="19">
        <v>46174.0</v>
      </c>
      <c r="B93" s="20" t="s">
        <v>617</v>
      </c>
      <c r="C93" s="20" t="s">
        <v>156</v>
      </c>
      <c r="D93" s="21" t="s">
        <v>140</v>
      </c>
      <c r="E93" s="21" t="s">
        <v>34</v>
      </c>
      <c r="F93" s="20" t="s">
        <v>618</v>
      </c>
      <c r="G93" s="41" t="s">
        <v>619</v>
      </c>
      <c r="H93" s="30" t="str">
        <f>IF(C93="", "", IFERROR(VLOOKUP(C93, 'Tabla 2'!$A$2:$D$298, 2, FALSE), ""))</f>
        <v>Sustentabilidad Nacional</v>
      </c>
      <c r="I93" s="34">
        <f>IF(C93="", "", IFERROR(VLOOKUP(C93, 'Tabla 2'!$A$2:$D$298, 3, FALSE), ""))</f>
        <v>2</v>
      </c>
      <c r="J93" s="35">
        <f>IF(C93="", "", IFERROR(VLOOKUP(C93, 'Tabla 2'!$A$2:$D$298, 4, FALSE), ""))</f>
        <v>0</v>
      </c>
      <c r="K93" s="21" t="s">
        <v>44</v>
      </c>
      <c r="L93" s="13" t="b">
        <v>1</v>
      </c>
      <c r="M93" s="21" t="s">
        <v>46</v>
      </c>
      <c r="N93" s="21" t="s">
        <v>167</v>
      </c>
      <c r="O93" s="50" t="s">
        <v>616</v>
      </c>
      <c r="P93" s="51">
        <v>1.0</v>
      </c>
    </row>
    <row r="94" ht="22.5" customHeight="1">
      <c r="A94" s="19">
        <v>46174.0</v>
      </c>
      <c r="B94" s="85" t="s">
        <v>620</v>
      </c>
      <c r="C94" s="20" t="s">
        <v>31</v>
      </c>
      <c r="D94" s="21" t="s">
        <v>140</v>
      </c>
      <c r="E94" s="21" t="s">
        <v>34</v>
      </c>
      <c r="F94" s="20" t="s">
        <v>621</v>
      </c>
      <c r="G94" s="41" t="s">
        <v>622</v>
      </c>
      <c r="H94" s="30" t="str">
        <f>IF(C94="", "", IFERROR(VLOOKUP(C94, 'Tabla 2'!$A$2:$D$298, 2, FALSE), ""))</f>
        <v>Local BB</v>
      </c>
      <c r="I94" s="34">
        <f>IF(C94="", "", IFERROR(VLOOKUP(C94, 'Tabla 2'!$A$2:$D$298, 3, FALSE), ""))</f>
        <v>1</v>
      </c>
      <c r="J94" s="35">
        <f>IF(C94="", "", IFERROR(VLOOKUP(C94, 'Tabla 2'!$A$2:$D$298, 4, FALSE), ""))</f>
        <v>900000</v>
      </c>
      <c r="K94" s="21" t="s">
        <v>44</v>
      </c>
      <c r="L94" s="13" t="b">
        <v>1</v>
      </c>
      <c r="M94" s="21" t="s">
        <v>46</v>
      </c>
      <c r="N94" s="21" t="s">
        <v>167</v>
      </c>
      <c r="O94" s="50" t="s">
        <v>616</v>
      </c>
      <c r="P94" s="51">
        <v>1.0</v>
      </c>
    </row>
    <row r="95" ht="22.5" customHeight="1">
      <c r="A95" s="19">
        <v>46174.0</v>
      </c>
      <c r="B95" s="20" t="s">
        <v>623</v>
      </c>
      <c r="C95" s="20" t="s">
        <v>411</v>
      </c>
      <c r="D95" s="21" t="s">
        <v>140</v>
      </c>
      <c r="E95" s="21" t="s">
        <v>34</v>
      </c>
      <c r="F95" s="20" t="s">
        <v>624</v>
      </c>
      <c r="G95" s="41" t="s">
        <v>625</v>
      </c>
      <c r="H95" s="30" t="str">
        <f>IF(C95="", "", IFERROR(VLOOKUP(C95, 'Tabla 2'!$A$2:$D$298, 2, FALSE), ""))</f>
        <v>Local BB</v>
      </c>
      <c r="I95" s="34">
        <f>IF(C95="", "", IFERROR(VLOOKUP(C95, 'Tabla 2'!$A$2:$D$298, 3, FALSE), ""))</f>
        <v>3</v>
      </c>
      <c r="J95" s="35">
        <f>IF(C95="", "", IFERROR(VLOOKUP(C95, 'Tabla 2'!$A$2:$D$298, 4, FALSE), ""))</f>
        <v>0</v>
      </c>
      <c r="K95" s="21" t="s">
        <v>44</v>
      </c>
      <c r="L95" s="13" t="b">
        <v>1</v>
      </c>
      <c r="M95" s="21" t="s">
        <v>46</v>
      </c>
      <c r="N95" s="21" t="s">
        <v>167</v>
      </c>
      <c r="O95" s="50" t="s">
        <v>616</v>
      </c>
      <c r="P95" s="51">
        <v>1.0</v>
      </c>
    </row>
    <row r="96" ht="22.5" customHeight="1">
      <c r="A96" s="19">
        <v>46174.0</v>
      </c>
      <c r="B96" s="20" t="s">
        <v>623</v>
      </c>
      <c r="C96" s="20" t="s">
        <v>168</v>
      </c>
      <c r="D96" s="21" t="s">
        <v>140</v>
      </c>
      <c r="E96" s="21" t="s">
        <v>34</v>
      </c>
      <c r="F96" s="20" t="s">
        <v>624</v>
      </c>
      <c r="G96" s="41" t="s">
        <v>626</v>
      </c>
      <c r="H96" s="30" t="str">
        <f>IF(C96="", "", IFERROR(VLOOKUP(C96, 'Tabla 2'!$A$2:$D$298, 2, FALSE), ""))</f>
        <v>Local BB</v>
      </c>
      <c r="I96" s="34">
        <f>IF(C96="", "", IFERROR(VLOOKUP(C96, 'Tabla 2'!$A$2:$D$298, 3, FALSE), ""))</f>
        <v>2</v>
      </c>
      <c r="J96" s="35">
        <f>IF(C96="", "", IFERROR(VLOOKUP(C96, 'Tabla 2'!$A$2:$D$298, 4, FALSE), ""))</f>
        <v>0</v>
      </c>
      <c r="K96" s="21" t="s">
        <v>44</v>
      </c>
      <c r="L96" s="13" t="b">
        <v>1</v>
      </c>
      <c r="M96" s="21" t="s">
        <v>46</v>
      </c>
      <c r="N96" s="21" t="s">
        <v>167</v>
      </c>
      <c r="O96" s="50" t="s">
        <v>616</v>
      </c>
      <c r="P96" s="51">
        <v>1.0</v>
      </c>
    </row>
    <row r="97" ht="22.5" customHeight="1">
      <c r="A97" s="86">
        <v>46174.0</v>
      </c>
      <c r="B97" s="87" t="s">
        <v>627</v>
      </c>
      <c r="C97" s="87" t="s">
        <v>511</v>
      </c>
      <c r="D97" s="88" t="s">
        <v>140</v>
      </c>
      <c r="E97" s="88" t="s">
        <v>34</v>
      </c>
      <c r="F97" s="87" t="s">
        <v>628</v>
      </c>
      <c r="G97" s="41" t="s">
        <v>629</v>
      </c>
      <c r="H97" s="89" t="s">
        <v>88</v>
      </c>
      <c r="I97" s="90">
        <v>3.0</v>
      </c>
      <c r="J97" s="91">
        <v>500000.0</v>
      </c>
      <c r="K97" s="88" t="s">
        <v>44</v>
      </c>
      <c r="L97" s="13" t="b">
        <v>1</v>
      </c>
      <c r="M97" s="88" t="s">
        <v>155</v>
      </c>
      <c r="N97" s="88" t="s">
        <v>559</v>
      </c>
      <c r="O97" s="89" t="s">
        <v>40</v>
      </c>
      <c r="P97" s="92">
        <v>1.0</v>
      </c>
    </row>
    <row r="98" ht="22.5" customHeight="1">
      <c r="A98" s="86">
        <v>46174.0</v>
      </c>
      <c r="B98" s="87" t="s">
        <v>627</v>
      </c>
      <c r="C98" s="87" t="s">
        <v>183</v>
      </c>
      <c r="D98" s="88" t="s">
        <v>140</v>
      </c>
      <c r="E98" s="88" t="s">
        <v>34</v>
      </c>
      <c r="F98" s="87" t="s">
        <v>628</v>
      </c>
      <c r="G98" s="41" t="s">
        <v>630</v>
      </c>
      <c r="H98" s="93" t="str">
        <f>IF(C98="", "", IFERROR(VLOOKUP(C98, 'Tabla 2'!$A$2:$D$298, 2, FALSE), ""))</f>
        <v>Generalista Nacional</v>
      </c>
      <c r="I98" s="94">
        <f>IF(C98="", "", IFERROR(VLOOKUP(C98, 'Tabla 2'!$A$2:$D$298, 3, FALSE), ""))</f>
        <v>3</v>
      </c>
      <c r="J98" s="95">
        <f>IF(C98="", "", IFERROR(VLOOKUP(C98, 'Tabla 2'!$A$2:$D$298, 4, FALSE), ""))</f>
        <v>0</v>
      </c>
      <c r="K98" s="88" t="s">
        <v>44</v>
      </c>
      <c r="L98" s="13" t="b">
        <v>1</v>
      </c>
      <c r="M98" s="88" t="s">
        <v>155</v>
      </c>
      <c r="N98" s="88" t="s">
        <v>559</v>
      </c>
      <c r="O98" s="89" t="s">
        <v>40</v>
      </c>
      <c r="P98" s="92">
        <v>1.0</v>
      </c>
    </row>
    <row r="99" ht="22.5" customHeight="1">
      <c r="A99" s="86">
        <v>46174.0</v>
      </c>
      <c r="B99" s="87" t="s">
        <v>631</v>
      </c>
      <c r="C99" s="87" t="s">
        <v>77</v>
      </c>
      <c r="D99" s="88" t="s">
        <v>140</v>
      </c>
      <c r="E99" s="88" t="s">
        <v>34</v>
      </c>
      <c r="F99" s="87" t="s">
        <v>632</v>
      </c>
      <c r="G99" s="41" t="s">
        <v>633</v>
      </c>
      <c r="H99" s="93" t="str">
        <f>IF(C99="", "", IFERROR(VLOOKUP(C99, 'Tabla 2'!$A$2:$D$298, 2, FALSE), ""))</f>
        <v>Sustentabilidad Nacional</v>
      </c>
      <c r="I99" s="34">
        <f>IF(C99="", "", IFERROR(VLOOKUP(C99, 'Tabla 2'!$A$2:$D$298, 3, FALSE), ""))</f>
        <v>1</v>
      </c>
      <c r="J99" s="95">
        <f>IF(C99="", "", IFERROR(VLOOKUP(C99, 'Tabla 2'!$A$2:$D$298, 4, FALSE), ""))</f>
        <v>700000</v>
      </c>
      <c r="K99" s="88" t="s">
        <v>44</v>
      </c>
      <c r="L99" s="13" t="b">
        <v>1</v>
      </c>
      <c r="M99" s="88" t="s">
        <v>46</v>
      </c>
      <c r="N99" s="88" t="s">
        <v>167</v>
      </c>
      <c r="O99" s="89" t="s">
        <v>616</v>
      </c>
      <c r="P99" s="92">
        <v>1.0</v>
      </c>
    </row>
    <row r="100" ht="22.5" customHeight="1">
      <c r="A100" s="86">
        <v>46174.0</v>
      </c>
      <c r="B100" s="87" t="s">
        <v>627</v>
      </c>
      <c r="C100" s="87" t="s">
        <v>68</v>
      </c>
      <c r="D100" s="88" t="s">
        <v>32</v>
      </c>
      <c r="E100" s="88" t="str">
        <f>IF(OR(D100="Espontánea", D100="Reactiva"), "Orgánica", "")</f>
        <v>Orgánica</v>
      </c>
      <c r="F100" s="87" t="s">
        <v>628</v>
      </c>
      <c r="G100" s="41" t="s">
        <v>634</v>
      </c>
      <c r="H100" s="93" t="str">
        <f>IF(C100="", "", IFERROR(VLOOKUP(C100, 'Tabla 2'!$A$2:$D$298, 2, FALSE), ""))</f>
        <v>Negocio Nacional</v>
      </c>
      <c r="I100" s="94">
        <f>IF(C100="", "", IFERROR(VLOOKUP(C100, 'Tabla 2'!$A$2:$D$298, 3, FALSE), ""))</f>
        <v>1</v>
      </c>
      <c r="J100" s="95">
        <f>IF(C100="", "", IFERROR(VLOOKUP(C100, 'Tabla 2'!$A$2:$D$298, 4, FALSE), ""))</f>
        <v>1800000</v>
      </c>
      <c r="K100" s="88" t="s">
        <v>44</v>
      </c>
      <c r="L100" s="13" t="b">
        <v>1</v>
      </c>
      <c r="M100" s="88" t="s">
        <v>155</v>
      </c>
      <c r="N100" s="88" t="s">
        <v>559</v>
      </c>
      <c r="O100" s="89" t="s">
        <v>40</v>
      </c>
      <c r="P100" s="92">
        <v>1.0</v>
      </c>
    </row>
    <row r="101" ht="22.5" customHeight="1">
      <c r="A101" s="86">
        <v>46174.0</v>
      </c>
      <c r="B101" s="87" t="s">
        <v>620</v>
      </c>
      <c r="C101" s="87" t="s">
        <v>510</v>
      </c>
      <c r="D101" s="88" t="s">
        <v>140</v>
      </c>
      <c r="E101" s="88" t="s">
        <v>34</v>
      </c>
      <c r="F101" s="87" t="s">
        <v>635</v>
      </c>
      <c r="G101" s="41" t="s">
        <v>636</v>
      </c>
      <c r="H101" s="89" t="s">
        <v>36</v>
      </c>
      <c r="I101" s="90">
        <v>3.0</v>
      </c>
      <c r="J101" s="91">
        <v>500000.0</v>
      </c>
      <c r="K101" s="88" t="s">
        <v>44</v>
      </c>
      <c r="L101" s="13" t="b">
        <v>1</v>
      </c>
      <c r="M101" s="88" t="s">
        <v>46</v>
      </c>
      <c r="N101" s="88" t="s">
        <v>167</v>
      </c>
      <c r="O101" s="89" t="s">
        <v>49</v>
      </c>
      <c r="P101" s="92">
        <v>1.0</v>
      </c>
    </row>
    <row r="102" ht="22.5" customHeight="1">
      <c r="A102" s="86">
        <v>46174.0</v>
      </c>
      <c r="B102" s="87" t="s">
        <v>637</v>
      </c>
      <c r="C102" s="50" t="s">
        <v>166</v>
      </c>
      <c r="D102" s="88" t="s">
        <v>32</v>
      </c>
      <c r="E102" s="88" t="str">
        <f t="shared" ref="E102:E105" si="5">IF(OR(D102="Espontánea", D102="Reactiva"), "Orgánica", "")</f>
        <v>Orgánica</v>
      </c>
      <c r="F102" s="87" t="s">
        <v>638</v>
      </c>
      <c r="G102" s="41" t="s">
        <v>639</v>
      </c>
      <c r="H102" s="89" t="s">
        <v>88</v>
      </c>
      <c r="I102" s="96">
        <v>2.0</v>
      </c>
      <c r="J102" s="91">
        <v>500000.0</v>
      </c>
      <c r="K102" s="88" t="s">
        <v>44</v>
      </c>
      <c r="L102" s="13" t="b">
        <v>1</v>
      </c>
      <c r="M102" s="88" t="s">
        <v>46</v>
      </c>
      <c r="N102" s="88" t="s">
        <v>48</v>
      </c>
      <c r="O102" s="89" t="s">
        <v>49</v>
      </c>
      <c r="P102" s="92">
        <v>1.0</v>
      </c>
    </row>
    <row r="103" ht="22.5" customHeight="1">
      <c r="A103" s="86">
        <v>46174.0</v>
      </c>
      <c r="B103" s="87" t="s">
        <v>640</v>
      </c>
      <c r="C103" s="87" t="s">
        <v>72</v>
      </c>
      <c r="D103" s="88" t="s">
        <v>32</v>
      </c>
      <c r="E103" s="88" t="str">
        <f t="shared" si="5"/>
        <v>Orgánica</v>
      </c>
      <c r="F103" s="87" t="s">
        <v>641</v>
      </c>
      <c r="G103" s="41" t="s">
        <v>642</v>
      </c>
      <c r="H103" s="93" t="str">
        <f>IF(C103="", "", IFERROR(VLOOKUP(C103, 'Tabla 2'!$A$2:$D$298, 2, FALSE), ""))</f>
        <v>Negocio Nacional</v>
      </c>
      <c r="I103" s="94">
        <f>IF(C103="", "", IFERROR(VLOOKUP(C103, 'Tabla 2'!$A$2:$D$298, 3, FALSE), ""))</f>
        <v>1</v>
      </c>
      <c r="J103" s="95">
        <f>IF(C103="", "", IFERROR(VLOOKUP(C103, 'Tabla 2'!$A$2:$D$298, 4, FALSE), ""))</f>
        <v>800000</v>
      </c>
      <c r="K103" s="88" t="s">
        <v>44</v>
      </c>
      <c r="L103" s="13" t="b">
        <v>1</v>
      </c>
      <c r="M103" s="88" t="s">
        <v>155</v>
      </c>
      <c r="N103" s="88" t="s">
        <v>559</v>
      </c>
      <c r="O103" s="89" t="s">
        <v>49</v>
      </c>
      <c r="P103" s="92">
        <v>1.0</v>
      </c>
    </row>
    <row r="104" ht="22.5" customHeight="1">
      <c r="A104" s="86">
        <v>46174.0</v>
      </c>
      <c r="B104" s="87" t="s">
        <v>627</v>
      </c>
      <c r="C104" s="87" t="s">
        <v>513</v>
      </c>
      <c r="D104" s="88" t="s">
        <v>32</v>
      </c>
      <c r="E104" s="88" t="str">
        <f t="shared" si="5"/>
        <v>Orgánica</v>
      </c>
      <c r="F104" s="87" t="s">
        <v>628</v>
      </c>
      <c r="G104" s="41" t="s">
        <v>643</v>
      </c>
      <c r="H104" s="89" t="s">
        <v>36</v>
      </c>
      <c r="I104" s="90">
        <v>3.0</v>
      </c>
      <c r="J104" s="91">
        <v>500000.0</v>
      </c>
      <c r="K104" s="88" t="s">
        <v>44</v>
      </c>
      <c r="L104" s="13" t="b">
        <v>1</v>
      </c>
      <c r="M104" s="88" t="s">
        <v>155</v>
      </c>
      <c r="N104" s="88" t="s">
        <v>559</v>
      </c>
      <c r="O104" s="89" t="s">
        <v>49</v>
      </c>
      <c r="P104" s="92">
        <v>1.0</v>
      </c>
    </row>
    <row r="105" ht="22.5" customHeight="1">
      <c r="A105" s="86">
        <v>46174.0</v>
      </c>
      <c r="B105" s="87" t="s">
        <v>644</v>
      </c>
      <c r="C105" s="87" t="s">
        <v>150</v>
      </c>
      <c r="D105" s="88" t="s">
        <v>32</v>
      </c>
      <c r="E105" s="88" t="str">
        <f t="shared" si="5"/>
        <v>Orgánica</v>
      </c>
      <c r="F105" s="87" t="s">
        <v>645</v>
      </c>
      <c r="G105" s="41" t="s">
        <v>646</v>
      </c>
      <c r="H105" s="93" t="str">
        <f>IF(C105="", "", IFERROR(VLOOKUP(C105, 'Tabla 2'!$A$2:$D$298, 2, FALSE), ""))</f>
        <v>Negocio Nacional</v>
      </c>
      <c r="I105" s="94">
        <f>IF(C105="", "", IFERROR(VLOOKUP(C105, 'Tabla 2'!$A$2:$D$298, 3, FALSE), ""))</f>
        <v>2</v>
      </c>
      <c r="J105" s="95">
        <f>IF(C105="", "", IFERROR(VLOOKUP(C105, 'Tabla 2'!$A$2:$D$298, 4, FALSE), ""))</f>
        <v>0</v>
      </c>
      <c r="K105" s="88" t="s">
        <v>44</v>
      </c>
      <c r="L105" s="13" t="b">
        <v>1</v>
      </c>
      <c r="M105" s="88" t="s">
        <v>46</v>
      </c>
      <c r="N105" s="88" t="s">
        <v>48</v>
      </c>
      <c r="O105" s="89" t="s">
        <v>49</v>
      </c>
      <c r="P105" s="92">
        <v>1.0</v>
      </c>
    </row>
    <row r="106" ht="22.5" customHeight="1">
      <c r="A106" s="19">
        <v>46175.0</v>
      </c>
      <c r="B106" s="85" t="s">
        <v>620</v>
      </c>
      <c r="C106" s="20" t="s">
        <v>56</v>
      </c>
      <c r="D106" s="21" t="s">
        <v>140</v>
      </c>
      <c r="E106" s="21" t="s">
        <v>34</v>
      </c>
      <c r="F106" s="20" t="s">
        <v>647</v>
      </c>
      <c r="G106" s="41" t="s">
        <v>648</v>
      </c>
      <c r="H106" s="30" t="str">
        <f>IF(C106="", "", IFERROR(VLOOKUP(C106, 'Tabla 2'!$A$2:$D$298, 2, FALSE), ""))</f>
        <v>Local BB</v>
      </c>
      <c r="I106" s="34">
        <f>IF(C106="", "", IFERROR(VLOOKUP(C106, 'Tabla 2'!$A$2:$D$298, 3, FALSE), ""))</f>
        <v>1</v>
      </c>
      <c r="J106" s="35">
        <f>IF(C106="", "", IFERROR(VLOOKUP(C106, 'Tabla 2'!$A$2:$D$298, 4, FALSE), ""))</f>
        <v>500000</v>
      </c>
      <c r="K106" s="21" t="s">
        <v>44</v>
      </c>
      <c r="L106" s="13" t="b">
        <v>1</v>
      </c>
      <c r="M106" s="21" t="s">
        <v>46</v>
      </c>
      <c r="N106" s="21" t="s">
        <v>167</v>
      </c>
      <c r="O106" s="50" t="s">
        <v>616</v>
      </c>
      <c r="P106" s="51">
        <v>1.0</v>
      </c>
    </row>
    <row r="107" ht="22.5" customHeight="1">
      <c r="A107" s="19">
        <v>46175.0</v>
      </c>
      <c r="B107" s="20" t="s">
        <v>620</v>
      </c>
      <c r="C107" s="20" t="s">
        <v>120</v>
      </c>
      <c r="D107" s="21" t="s">
        <v>140</v>
      </c>
      <c r="E107" s="21" t="s">
        <v>34</v>
      </c>
      <c r="F107" s="20" t="s">
        <v>621</v>
      </c>
      <c r="G107" s="41" t="s">
        <v>649</v>
      </c>
      <c r="H107" s="30" t="str">
        <f>IF(C107="", "", IFERROR(VLOOKUP(C107, 'Tabla 2'!$A$2:$D$298, 2, FALSE), ""))</f>
        <v>Local BB</v>
      </c>
      <c r="I107" s="34">
        <f>IF(C107="", "", IFERROR(VLOOKUP(C107, 'Tabla 2'!$A$2:$D$298, 3, FALSE), ""))</f>
        <v>3</v>
      </c>
      <c r="J107" s="35">
        <f>IF(C107="", "", IFERROR(VLOOKUP(C107, 'Tabla 2'!$A$2:$D$298, 4, FALSE), ""))</f>
        <v>0</v>
      </c>
      <c r="K107" s="21" t="s">
        <v>44</v>
      </c>
      <c r="L107" s="13" t="b">
        <v>1</v>
      </c>
      <c r="M107" s="21" t="s">
        <v>46</v>
      </c>
      <c r="N107" s="21" t="s">
        <v>167</v>
      </c>
      <c r="O107" s="50" t="s">
        <v>616</v>
      </c>
      <c r="P107" s="51">
        <v>1.0</v>
      </c>
    </row>
    <row r="108" ht="22.5" customHeight="1">
      <c r="A108" s="19">
        <v>46175.0</v>
      </c>
      <c r="B108" s="20" t="s">
        <v>650</v>
      </c>
      <c r="C108" s="20" t="s">
        <v>146</v>
      </c>
      <c r="D108" s="21" t="s">
        <v>140</v>
      </c>
      <c r="E108" s="21" t="s">
        <v>34</v>
      </c>
      <c r="F108" s="20" t="s">
        <v>651</v>
      </c>
      <c r="G108" s="97" t="s">
        <v>652</v>
      </c>
      <c r="H108" s="30" t="str">
        <f>IF(C108="", "", IFERROR(VLOOKUP(C108, 'Tabla 2'!$A$2:$D$298, 2, FALSE), ""))</f>
        <v>Sustentabilidad Nacional</v>
      </c>
      <c r="I108" s="34">
        <f>IF(C108="", "", IFERROR(VLOOKUP(C108, 'Tabla 2'!$A$2:$D$298, 3, FALSE), ""))</f>
        <v>2</v>
      </c>
      <c r="J108" s="35">
        <f>IF(C108="", "", IFERROR(VLOOKUP(C108, 'Tabla 2'!$A$2:$D$298, 4, FALSE), ""))</f>
        <v>0</v>
      </c>
      <c r="K108" s="21" t="s">
        <v>44</v>
      </c>
      <c r="L108" s="13" t="b">
        <v>1</v>
      </c>
      <c r="M108" s="21" t="s">
        <v>46</v>
      </c>
      <c r="N108" s="21" t="s">
        <v>167</v>
      </c>
      <c r="O108" s="50" t="s">
        <v>616</v>
      </c>
      <c r="P108" s="51">
        <v>1.0</v>
      </c>
    </row>
    <row r="109" ht="22.5" customHeight="1">
      <c r="A109" s="19">
        <v>46175.0</v>
      </c>
      <c r="B109" s="20" t="s">
        <v>653</v>
      </c>
      <c r="C109" s="20" t="s">
        <v>509</v>
      </c>
      <c r="D109" s="21" t="s">
        <v>140</v>
      </c>
      <c r="E109" s="21" t="s">
        <v>34</v>
      </c>
      <c r="F109" s="20" t="s">
        <v>654</v>
      </c>
      <c r="G109" s="41" t="s">
        <v>655</v>
      </c>
      <c r="H109" s="30" t="str">
        <f>VLOOKUP($C109, 'Tabla 2'!$A$1:$D$301, 2, FALSE)</f>
        <v>Sustentabilidad Nacional</v>
      </c>
      <c r="I109" s="34">
        <f>VLOOKUP($C109, 'Tabla 2'!$A$1:$D$301, 3, FALSE)</f>
        <v>3</v>
      </c>
      <c r="J109" s="35">
        <f>VLOOKUP($C109, 'Tabla 2'!$A$1:$D$301, 4, FALSE)</f>
        <v>0</v>
      </c>
      <c r="K109" s="21" t="s">
        <v>44</v>
      </c>
      <c r="L109" s="13" t="b">
        <v>1</v>
      </c>
      <c r="M109" s="21" t="s">
        <v>46</v>
      </c>
      <c r="N109" s="21" t="s">
        <v>167</v>
      </c>
      <c r="O109" s="50" t="s">
        <v>616</v>
      </c>
      <c r="P109" s="51">
        <v>1.0</v>
      </c>
    </row>
    <row r="110" ht="22.5" customHeight="1">
      <c r="A110" s="86">
        <v>46175.0</v>
      </c>
      <c r="B110" s="87" t="s">
        <v>656</v>
      </c>
      <c r="C110" s="87" t="s">
        <v>491</v>
      </c>
      <c r="D110" s="88" t="s">
        <v>140</v>
      </c>
      <c r="E110" s="88" t="s">
        <v>34</v>
      </c>
      <c r="F110" s="87" t="s">
        <v>657</v>
      </c>
      <c r="G110" s="41" t="s">
        <v>658</v>
      </c>
      <c r="H110" s="93" t="str">
        <f>IF(C110="", "", IFERROR(VLOOKUP(C110, 'Tabla 2'!$A$2:$D$298, 2, FALSE), ""))</f>
        <v>Generalista Nacional</v>
      </c>
      <c r="I110" s="94">
        <f>IF(C110="", "", IFERROR(VLOOKUP(C110, 'Tabla 2'!$A$2:$D$298, 3, FALSE), ""))</f>
        <v>3</v>
      </c>
      <c r="J110" s="95">
        <f>IF(C110="", "", IFERROR(VLOOKUP(C110, 'Tabla 2'!$A$2:$D$298, 4, FALSE), ""))</f>
        <v>0</v>
      </c>
      <c r="K110" s="88" t="s">
        <v>44</v>
      </c>
      <c r="L110" s="13" t="b">
        <v>1</v>
      </c>
      <c r="M110" s="88" t="s">
        <v>46</v>
      </c>
      <c r="N110" s="88" t="s">
        <v>167</v>
      </c>
      <c r="O110" s="89" t="s">
        <v>49</v>
      </c>
      <c r="P110" s="92">
        <v>1.0</v>
      </c>
    </row>
    <row r="111" ht="22.5" customHeight="1">
      <c r="A111" s="86">
        <v>46180.0</v>
      </c>
      <c r="B111" s="85" t="s">
        <v>659</v>
      </c>
      <c r="C111" s="87" t="s">
        <v>31</v>
      </c>
      <c r="D111" s="88" t="s">
        <v>140</v>
      </c>
      <c r="E111" s="88" t="s">
        <v>34</v>
      </c>
      <c r="F111" s="87" t="s">
        <v>660</v>
      </c>
      <c r="G111" s="41" t="s">
        <v>661</v>
      </c>
      <c r="H111" s="93" t="str">
        <f>IF(C111="", "", IFERROR(VLOOKUP(C111, 'Tabla 2'!$A$2:$D$298, 2, FALSE), ""))</f>
        <v>Local BB</v>
      </c>
      <c r="I111" s="94">
        <f>IF(C111="", "", IFERROR(VLOOKUP(C111, 'Tabla 2'!$A$2:$D$298, 3, FALSE), ""))</f>
        <v>1</v>
      </c>
      <c r="J111" s="95">
        <f>IF(C111="", "", IFERROR(VLOOKUP(C111, 'Tabla 2'!$A$2:$D$298, 4, FALSE), ""))</f>
        <v>900000</v>
      </c>
      <c r="K111" s="88" t="s">
        <v>44</v>
      </c>
      <c r="L111" s="13" t="b">
        <v>1</v>
      </c>
      <c r="M111" s="88" t="s">
        <v>46</v>
      </c>
      <c r="N111" s="88" t="s">
        <v>167</v>
      </c>
      <c r="O111" s="89" t="s">
        <v>49</v>
      </c>
      <c r="P111" s="92">
        <v>1.0</v>
      </c>
    </row>
    <row r="112" ht="22.5" customHeight="1">
      <c r="A112" s="86">
        <v>46180.0</v>
      </c>
      <c r="B112" s="85" t="s">
        <v>659</v>
      </c>
      <c r="C112" s="87" t="s">
        <v>31</v>
      </c>
      <c r="D112" s="88" t="s">
        <v>140</v>
      </c>
      <c r="E112" s="88" t="s">
        <v>34</v>
      </c>
      <c r="F112" s="87" t="s">
        <v>252</v>
      </c>
      <c r="G112" s="41" t="s">
        <v>662</v>
      </c>
      <c r="H112" s="93" t="str">
        <f>IF(C112="", "", IFERROR(VLOOKUP(C112, 'Tabla 2'!$A$2:$D$298, 2, FALSE), ""))</f>
        <v>Local BB</v>
      </c>
      <c r="I112" s="94">
        <f>IF(C112="", "", IFERROR(VLOOKUP(C112, 'Tabla 2'!$A$2:$D$298, 3, FALSE), ""))</f>
        <v>1</v>
      </c>
      <c r="J112" s="95">
        <f>IF(C112="", "", IFERROR(VLOOKUP(C112, 'Tabla 2'!$A$2:$D$298, 4, FALSE), ""))</f>
        <v>900000</v>
      </c>
      <c r="K112" s="88" t="s">
        <v>44</v>
      </c>
      <c r="L112" s="13" t="b">
        <v>1</v>
      </c>
      <c r="M112" s="88" t="s">
        <v>46</v>
      </c>
      <c r="N112" s="88" t="s">
        <v>167</v>
      </c>
      <c r="O112" s="89" t="s">
        <v>49</v>
      </c>
      <c r="P112" s="92">
        <v>1.0</v>
      </c>
    </row>
    <row r="113" ht="22.5" customHeight="1">
      <c r="A113" s="86">
        <v>46181.0</v>
      </c>
      <c r="B113" s="85" t="s">
        <v>620</v>
      </c>
      <c r="C113" s="87" t="s">
        <v>61</v>
      </c>
      <c r="D113" s="88" t="s">
        <v>140</v>
      </c>
      <c r="E113" s="88" t="s">
        <v>34</v>
      </c>
      <c r="F113" s="87" t="s">
        <v>663</v>
      </c>
      <c r="G113" s="41" t="s">
        <v>664</v>
      </c>
      <c r="H113" s="93" t="str">
        <f>IF(C113="", "", IFERROR(VLOOKUP(C113, 'Tabla 2'!$A$2:$D$298, 2, FALSE), ""))</f>
        <v>Negocio Nacional</v>
      </c>
      <c r="I113" s="94">
        <f>IF(C113="", "", IFERROR(VLOOKUP(C113, 'Tabla 2'!$A$2:$D$298, 3, FALSE), ""))</f>
        <v>1</v>
      </c>
      <c r="J113" s="95">
        <f>IF(C113="", "", IFERROR(VLOOKUP(C113, 'Tabla 2'!$A$2:$D$298, 4, FALSE), ""))</f>
        <v>500000</v>
      </c>
      <c r="K113" s="88" t="s">
        <v>44</v>
      </c>
      <c r="L113" s="13" t="b">
        <v>1</v>
      </c>
      <c r="M113" s="88" t="s">
        <v>46</v>
      </c>
      <c r="N113" s="88" t="s">
        <v>167</v>
      </c>
      <c r="O113" s="89" t="s">
        <v>616</v>
      </c>
      <c r="P113" s="92">
        <v>1.0</v>
      </c>
    </row>
    <row r="114" ht="22.5" customHeight="1">
      <c r="A114" s="86">
        <v>46181.0</v>
      </c>
      <c r="B114" s="87" t="s">
        <v>665</v>
      </c>
      <c r="C114" s="87" t="s">
        <v>150</v>
      </c>
      <c r="D114" s="88" t="s">
        <v>140</v>
      </c>
      <c r="E114" s="88" t="s">
        <v>34</v>
      </c>
      <c r="F114" s="87" t="s">
        <v>666</v>
      </c>
      <c r="G114" s="41" t="s">
        <v>667</v>
      </c>
      <c r="H114" s="93" t="str">
        <f>IF(C114="", "", IFERROR(VLOOKUP(C114, 'Tabla 2'!$A$2:$D$298, 2, FALSE), ""))</f>
        <v>Negocio Nacional</v>
      </c>
      <c r="I114" s="94">
        <f>IF(C114="", "", IFERROR(VLOOKUP(C114, 'Tabla 2'!$A$2:$D$298, 3, FALSE), ""))</f>
        <v>2</v>
      </c>
      <c r="J114" s="95">
        <f>IF(C114="", "", IFERROR(VLOOKUP(C114, 'Tabla 2'!$A$2:$D$298, 4, FALSE), ""))</f>
        <v>0</v>
      </c>
      <c r="K114" s="88" t="s">
        <v>44</v>
      </c>
      <c r="L114" s="13" t="b">
        <v>1</v>
      </c>
      <c r="M114" s="88" t="s">
        <v>46</v>
      </c>
      <c r="N114" s="88" t="s">
        <v>167</v>
      </c>
      <c r="O114" s="89" t="s">
        <v>49</v>
      </c>
      <c r="P114" s="92">
        <v>1.0</v>
      </c>
    </row>
    <row r="115" ht="22.5" customHeight="1">
      <c r="A115" s="86">
        <v>46181.0</v>
      </c>
      <c r="B115" s="87" t="s">
        <v>668</v>
      </c>
      <c r="C115" s="50" t="s">
        <v>166</v>
      </c>
      <c r="D115" s="88" t="s">
        <v>140</v>
      </c>
      <c r="E115" s="88" t="s">
        <v>34</v>
      </c>
      <c r="F115" s="87" t="s">
        <v>669</v>
      </c>
      <c r="G115" s="41" t="s">
        <v>670</v>
      </c>
      <c r="H115" s="89" t="s">
        <v>88</v>
      </c>
      <c r="I115" s="96">
        <v>2.0</v>
      </c>
      <c r="J115" s="91">
        <v>500000.0</v>
      </c>
      <c r="K115" s="88" t="s">
        <v>44</v>
      </c>
      <c r="L115" s="13" t="b">
        <v>1</v>
      </c>
      <c r="M115" s="88" t="s">
        <v>46</v>
      </c>
      <c r="N115" s="88" t="s">
        <v>48</v>
      </c>
      <c r="O115" s="89" t="s">
        <v>49</v>
      </c>
      <c r="P115" s="92">
        <v>1.0</v>
      </c>
    </row>
    <row r="116" ht="22.5" customHeight="1">
      <c r="A116" s="86">
        <v>46181.0</v>
      </c>
      <c r="B116" s="85" t="s">
        <v>671</v>
      </c>
      <c r="C116" s="87" t="s">
        <v>70</v>
      </c>
      <c r="D116" s="88" t="s">
        <v>140</v>
      </c>
      <c r="E116" s="88" t="s">
        <v>34</v>
      </c>
      <c r="F116" s="87" t="s">
        <v>672</v>
      </c>
      <c r="G116" s="41" t="s">
        <v>673</v>
      </c>
      <c r="H116" s="93" t="str">
        <f>IF(C116="", "", IFERROR(VLOOKUP(C116, 'Tabla 2'!$A$2:$D$298, 2, FALSE), ""))</f>
        <v>Local BB</v>
      </c>
      <c r="I116" s="94">
        <f>IF(C116="", "", IFERROR(VLOOKUP(C116, 'Tabla 2'!$A$2:$D$298, 3, FALSE), ""))</f>
        <v>1</v>
      </c>
      <c r="J116" s="95">
        <f>IF(C116="", "", IFERROR(VLOOKUP(C116, 'Tabla 2'!$A$2:$D$298, 4, FALSE), ""))</f>
        <v>800000</v>
      </c>
      <c r="K116" s="88" t="s">
        <v>44</v>
      </c>
      <c r="L116" s="13" t="b">
        <v>1</v>
      </c>
      <c r="M116" s="88" t="s">
        <v>46</v>
      </c>
      <c r="N116" s="88" t="s">
        <v>48</v>
      </c>
      <c r="O116" s="89" t="s">
        <v>49</v>
      </c>
      <c r="P116" s="92">
        <v>1.0</v>
      </c>
    </row>
    <row r="117" ht="22.5" customHeight="1">
      <c r="A117" s="86">
        <v>46181.0</v>
      </c>
      <c r="B117" s="85" t="s">
        <v>671</v>
      </c>
      <c r="C117" s="87" t="s">
        <v>56</v>
      </c>
      <c r="D117" s="88" t="s">
        <v>140</v>
      </c>
      <c r="E117" s="88" t="s">
        <v>34</v>
      </c>
      <c r="F117" s="87" t="s">
        <v>672</v>
      </c>
      <c r="G117" s="41" t="s">
        <v>674</v>
      </c>
      <c r="H117" s="93" t="str">
        <f>IF(C117="", "", IFERROR(VLOOKUP(C117, 'Tabla 2'!$A$2:$D$298, 2, FALSE), ""))</f>
        <v>Local BB</v>
      </c>
      <c r="I117" s="94">
        <f>IF(C117="", "", IFERROR(VLOOKUP(C117, 'Tabla 2'!$A$2:$D$298, 3, FALSE), ""))</f>
        <v>1</v>
      </c>
      <c r="J117" s="95">
        <f>IF(C117="", "", IFERROR(VLOOKUP(C117, 'Tabla 2'!$A$2:$D$298, 4, FALSE), ""))</f>
        <v>500000</v>
      </c>
      <c r="K117" s="88" t="s">
        <v>44</v>
      </c>
      <c r="L117" s="13" t="b">
        <v>1</v>
      </c>
      <c r="M117" s="88" t="s">
        <v>46</v>
      </c>
      <c r="N117" s="88" t="s">
        <v>48</v>
      </c>
      <c r="O117" s="89" t="s">
        <v>49</v>
      </c>
      <c r="P117" s="92">
        <v>1.0</v>
      </c>
    </row>
    <row r="118" ht="22.5" customHeight="1">
      <c r="A118" s="86">
        <v>46181.0</v>
      </c>
      <c r="B118" s="85" t="s">
        <v>671</v>
      </c>
      <c r="C118" s="87" t="s">
        <v>31</v>
      </c>
      <c r="D118" s="88" t="s">
        <v>140</v>
      </c>
      <c r="E118" s="88" t="s">
        <v>34</v>
      </c>
      <c r="F118" s="87" t="s">
        <v>672</v>
      </c>
      <c r="G118" s="41" t="s">
        <v>675</v>
      </c>
      <c r="H118" s="93" t="str">
        <f>IF(C118="", "", IFERROR(VLOOKUP(C118, 'Tabla 2'!$A$2:$D$298, 2, FALSE), ""))</f>
        <v>Local BB</v>
      </c>
      <c r="I118" s="94">
        <f>IF(C118="", "", IFERROR(VLOOKUP(C118, 'Tabla 2'!$A$2:$D$298, 3, FALSE), ""))</f>
        <v>1</v>
      </c>
      <c r="J118" s="95">
        <f>IF(C118="", "", IFERROR(VLOOKUP(C118, 'Tabla 2'!$A$2:$D$298, 4, FALSE), ""))</f>
        <v>900000</v>
      </c>
      <c r="K118" s="88" t="s">
        <v>44</v>
      </c>
      <c r="L118" s="13" t="b">
        <v>1</v>
      </c>
      <c r="M118" s="88" t="s">
        <v>46</v>
      </c>
      <c r="N118" s="88" t="s">
        <v>48</v>
      </c>
      <c r="O118" s="89" t="s">
        <v>49</v>
      </c>
      <c r="P118" s="92">
        <v>1.0</v>
      </c>
    </row>
    <row r="119" ht="22.5" customHeight="1">
      <c r="A119" s="86">
        <v>46181.0</v>
      </c>
      <c r="B119" s="87" t="s">
        <v>671</v>
      </c>
      <c r="C119" s="87" t="s">
        <v>411</v>
      </c>
      <c r="D119" s="88" t="s">
        <v>140</v>
      </c>
      <c r="E119" s="88" t="s">
        <v>34</v>
      </c>
      <c r="F119" s="87" t="s">
        <v>672</v>
      </c>
      <c r="G119" s="41" t="s">
        <v>676</v>
      </c>
      <c r="H119" s="93" t="str">
        <f>IF(C119="", "", IFERROR(VLOOKUP(C119, 'Tabla 2'!$A$2:$D$298, 2, FALSE), ""))</f>
        <v>Local BB</v>
      </c>
      <c r="I119" s="94">
        <f>IF(C119="", "", IFERROR(VLOOKUP(C119, 'Tabla 2'!$A$2:$D$298, 3, FALSE), ""))</f>
        <v>3</v>
      </c>
      <c r="J119" s="95">
        <f>IF(C119="", "", IFERROR(VLOOKUP(C119, 'Tabla 2'!$A$2:$D$298, 4, FALSE), ""))</f>
        <v>0</v>
      </c>
      <c r="K119" s="88" t="s">
        <v>44</v>
      </c>
      <c r="L119" s="13" t="b">
        <v>1</v>
      </c>
      <c r="M119" s="88" t="s">
        <v>46</v>
      </c>
      <c r="N119" s="88" t="s">
        <v>48</v>
      </c>
      <c r="O119" s="89" t="s">
        <v>49</v>
      </c>
      <c r="P119" s="92">
        <v>1.0</v>
      </c>
    </row>
    <row r="120" ht="22.5" customHeight="1">
      <c r="A120" s="86">
        <v>46181.0</v>
      </c>
      <c r="B120" s="87" t="s">
        <v>677</v>
      </c>
      <c r="C120" s="87" t="s">
        <v>125</v>
      </c>
      <c r="D120" s="88" t="s">
        <v>140</v>
      </c>
      <c r="E120" s="88" t="s">
        <v>34</v>
      </c>
      <c r="F120" s="87" t="s">
        <v>678</v>
      </c>
      <c r="G120" s="98" t="s">
        <v>679</v>
      </c>
      <c r="H120" s="89" t="str">
        <f>IFERROR(VLOOKUP(C120, 'Tabla 2'!$A$2:$D$302, 2, FALSE), "")</f>
        <v>Sustentabilidad Nacional</v>
      </c>
      <c r="I120" s="96">
        <f>IFERROR(VLOOKUP(C120, 'Tabla 2'!$A$2:$D$302, 3, FALSE), "")</f>
        <v>2</v>
      </c>
      <c r="J120" s="91">
        <f>IFERROR(VLOOKUP(C120, 'Tabla 2'!$A$2:$D$302, 4, FALSE), "")</f>
        <v>0</v>
      </c>
      <c r="K120" s="99" t="s">
        <v>44</v>
      </c>
      <c r="L120" s="13" t="b">
        <v>1</v>
      </c>
      <c r="M120" s="99" t="s">
        <v>46</v>
      </c>
      <c r="N120" s="99" t="s">
        <v>167</v>
      </c>
      <c r="O120" s="89" t="s">
        <v>49</v>
      </c>
      <c r="P120" s="92">
        <v>1.0</v>
      </c>
    </row>
    <row r="121" ht="22.5" customHeight="1">
      <c r="A121" s="86">
        <v>46182.0</v>
      </c>
      <c r="B121" s="87" t="s">
        <v>671</v>
      </c>
      <c r="C121" s="87" t="s">
        <v>168</v>
      </c>
      <c r="D121" s="88" t="s">
        <v>140</v>
      </c>
      <c r="E121" s="88" t="s">
        <v>34</v>
      </c>
      <c r="F121" s="87" t="s">
        <v>672</v>
      </c>
      <c r="G121" s="41" t="s">
        <v>680</v>
      </c>
      <c r="H121" s="93" t="str">
        <f>IF(C121="", "", IFERROR(VLOOKUP(C121, 'Tabla 2'!$A$2:$D$298, 2, FALSE), ""))</f>
        <v>Local BB</v>
      </c>
      <c r="I121" s="94">
        <f>IF(C121="", "", IFERROR(VLOOKUP(C121, 'Tabla 2'!$A$2:$D$298, 3, FALSE), ""))</f>
        <v>2</v>
      </c>
      <c r="J121" s="95">
        <f>IF(C121="", "", IFERROR(VLOOKUP(C121, 'Tabla 2'!$A$2:$D$298, 4, FALSE), ""))</f>
        <v>0</v>
      </c>
      <c r="K121" s="88" t="s">
        <v>44</v>
      </c>
      <c r="L121" s="13" t="b">
        <v>1</v>
      </c>
      <c r="M121" s="88" t="s">
        <v>46</v>
      </c>
      <c r="N121" s="88" t="s">
        <v>48</v>
      </c>
      <c r="O121" s="89" t="s">
        <v>49</v>
      </c>
      <c r="P121" s="92">
        <v>1.0</v>
      </c>
    </row>
    <row r="122" ht="22.5" customHeight="1">
      <c r="A122" s="86">
        <v>46182.0</v>
      </c>
      <c r="B122" s="87" t="s">
        <v>671</v>
      </c>
      <c r="C122" s="87" t="s">
        <v>120</v>
      </c>
      <c r="D122" s="88" t="s">
        <v>140</v>
      </c>
      <c r="E122" s="88" t="s">
        <v>34</v>
      </c>
      <c r="F122" s="87" t="s">
        <v>672</v>
      </c>
      <c r="G122" s="41" t="s">
        <v>681</v>
      </c>
      <c r="H122" s="93" t="str">
        <f>IF(C122="", "", IFERROR(VLOOKUP(C122, 'Tabla 2'!$A$2:$D$298, 2, FALSE), ""))</f>
        <v>Local BB</v>
      </c>
      <c r="I122" s="94">
        <f>IF(C122="", "", IFERROR(VLOOKUP(C122, 'Tabla 2'!$A$2:$D$298, 3, FALSE), ""))</f>
        <v>3</v>
      </c>
      <c r="J122" s="95">
        <f>IF(C122="", "", IFERROR(VLOOKUP(C122, 'Tabla 2'!$A$2:$D$298, 4, FALSE), ""))</f>
        <v>0</v>
      </c>
      <c r="K122" s="88" t="s">
        <v>44</v>
      </c>
      <c r="L122" s="13" t="b">
        <v>1</v>
      </c>
      <c r="M122" s="88" t="s">
        <v>46</v>
      </c>
      <c r="N122" s="88" t="s">
        <v>48</v>
      </c>
      <c r="O122" s="89" t="s">
        <v>49</v>
      </c>
      <c r="P122" s="92">
        <v>1.0</v>
      </c>
    </row>
    <row r="123" ht="22.5" customHeight="1">
      <c r="A123" s="86">
        <v>46182.0</v>
      </c>
      <c r="B123" s="85" t="s">
        <v>671</v>
      </c>
      <c r="C123" s="87" t="s">
        <v>102</v>
      </c>
      <c r="D123" s="88" t="s">
        <v>140</v>
      </c>
      <c r="E123" s="88" t="s">
        <v>34</v>
      </c>
      <c r="F123" s="87" t="s">
        <v>672</v>
      </c>
      <c r="G123" s="41" t="s">
        <v>682</v>
      </c>
      <c r="H123" s="93" t="str">
        <f>IF(C123="", "", IFERROR(VLOOKUP(C123, 'Tabla 2'!$A$2:$D$298, 2, FALSE), ""))</f>
        <v>Local BB</v>
      </c>
      <c r="I123" s="94">
        <f>IF(C123="", "", IFERROR(VLOOKUP(C123, 'Tabla 2'!$A$2:$D$298, 3, FALSE), ""))</f>
        <v>1</v>
      </c>
      <c r="J123" s="95">
        <f>IF(C123="", "", IFERROR(VLOOKUP(C123, 'Tabla 2'!$A$2:$D$298, 4, FALSE), ""))</f>
        <v>800000</v>
      </c>
      <c r="K123" s="88" t="s">
        <v>44</v>
      </c>
      <c r="L123" s="13" t="b">
        <v>1</v>
      </c>
      <c r="M123" s="88" t="s">
        <v>46</v>
      </c>
      <c r="N123" s="88" t="s">
        <v>48</v>
      </c>
      <c r="O123" s="89" t="s">
        <v>49</v>
      </c>
      <c r="P123" s="92">
        <v>1.0</v>
      </c>
    </row>
    <row r="124" ht="22.5" customHeight="1">
      <c r="A124" s="86">
        <v>46184.0</v>
      </c>
      <c r="B124" s="87" t="s">
        <v>627</v>
      </c>
      <c r="C124" s="87" t="s">
        <v>442</v>
      </c>
      <c r="D124" s="88" t="s">
        <v>32</v>
      </c>
      <c r="E124" s="88" t="s">
        <v>34</v>
      </c>
      <c r="F124" s="87" t="s">
        <v>683</v>
      </c>
      <c r="G124" s="41" t="s">
        <v>684</v>
      </c>
      <c r="H124" s="93" t="str">
        <f>IF(C124="", "", IFERROR(VLOOKUP(C124, 'Tabla 2'!$A$2:$D$298, 2, FALSE), ""))</f>
        <v>Generalista Nacional</v>
      </c>
      <c r="I124" s="94">
        <f>IF(C124="", "", IFERROR(VLOOKUP(C124, 'Tabla 2'!$A$2:$D$298, 3, FALSE), ""))</f>
        <v>3</v>
      </c>
      <c r="J124" s="95">
        <f>IF(C124="", "", IFERROR(VLOOKUP(C124, 'Tabla 2'!$A$2:$D$298, 4, FALSE), ""))</f>
        <v>0</v>
      </c>
      <c r="K124" s="88" t="s">
        <v>44</v>
      </c>
      <c r="L124" s="13" t="b">
        <v>1</v>
      </c>
      <c r="M124" s="88" t="s">
        <v>155</v>
      </c>
      <c r="N124" s="88" t="s">
        <v>559</v>
      </c>
      <c r="O124" s="89" t="s">
        <v>40</v>
      </c>
      <c r="P124" s="92">
        <v>1.0</v>
      </c>
    </row>
    <row r="125" ht="22.5" customHeight="1">
      <c r="A125" s="86">
        <v>46184.0</v>
      </c>
      <c r="B125" s="87" t="s">
        <v>685</v>
      </c>
      <c r="C125" s="87" t="s">
        <v>56</v>
      </c>
      <c r="D125" s="88" t="s">
        <v>32</v>
      </c>
      <c r="E125" s="88" t="str">
        <f>IF(OR(D125="Espontánea", D125="Reactiva"), "Orgánica", "")</f>
        <v>Orgánica</v>
      </c>
      <c r="F125" s="87" t="s">
        <v>686</v>
      </c>
      <c r="G125" s="41" t="s">
        <v>687</v>
      </c>
      <c r="H125" s="93" t="str">
        <f>IF(C125="", "", IFERROR(VLOOKUP(C125, 'Tabla 2'!$A$2:$D$298, 2, FALSE), ""))</f>
        <v>Local BB</v>
      </c>
      <c r="I125" s="94">
        <f>IF(C125="", "", IFERROR(VLOOKUP(C125, 'Tabla 2'!$A$2:$D$298, 3, FALSE), ""))</f>
        <v>1</v>
      </c>
      <c r="J125" s="95">
        <f>IF(C125="", "", IFERROR(VLOOKUP(C125, 'Tabla 2'!$A$2:$D$298, 4, FALSE), ""))</f>
        <v>500000</v>
      </c>
      <c r="K125" s="88" t="s">
        <v>44</v>
      </c>
      <c r="L125" s="13" t="b">
        <v>1</v>
      </c>
      <c r="M125" s="88" t="s">
        <v>46</v>
      </c>
      <c r="N125" s="88" t="s">
        <v>48</v>
      </c>
      <c r="O125" s="89" t="s">
        <v>49</v>
      </c>
      <c r="P125" s="92">
        <v>1.0</v>
      </c>
    </row>
    <row r="126" ht="22.5" customHeight="1">
      <c r="A126" s="86">
        <v>46194.0</v>
      </c>
      <c r="B126" s="85" t="s">
        <v>688</v>
      </c>
      <c r="C126" s="87" t="s">
        <v>31</v>
      </c>
      <c r="D126" s="88" t="s">
        <v>140</v>
      </c>
      <c r="E126" s="88" t="s">
        <v>34</v>
      </c>
      <c r="F126" s="87" t="s">
        <v>252</v>
      </c>
      <c r="G126" s="41" t="s">
        <v>689</v>
      </c>
      <c r="H126" s="89" t="s">
        <v>88</v>
      </c>
      <c r="I126" s="96">
        <v>1.0</v>
      </c>
      <c r="J126" s="91">
        <v>900000.0</v>
      </c>
      <c r="K126" s="88" t="s">
        <v>44</v>
      </c>
      <c r="L126" s="13" t="b">
        <v>1</v>
      </c>
      <c r="M126" s="88" t="s">
        <v>155</v>
      </c>
      <c r="N126" s="88" t="s">
        <v>158</v>
      </c>
      <c r="O126" s="89" t="s">
        <v>40</v>
      </c>
      <c r="P126" s="92">
        <v>1.0</v>
      </c>
    </row>
    <row r="127" ht="22.5" customHeight="1">
      <c r="A127" s="86">
        <v>46194.0</v>
      </c>
      <c r="B127" s="87" t="s">
        <v>690</v>
      </c>
      <c r="C127" s="87" t="s">
        <v>31</v>
      </c>
      <c r="D127" s="88" t="s">
        <v>32</v>
      </c>
      <c r="E127" s="88" t="s">
        <v>34</v>
      </c>
      <c r="F127" s="87" t="s">
        <v>252</v>
      </c>
      <c r="G127" s="41" t="s">
        <v>691</v>
      </c>
      <c r="H127" s="89" t="s">
        <v>88</v>
      </c>
      <c r="I127" s="96">
        <v>1.0</v>
      </c>
      <c r="J127" s="91">
        <v>900000.0</v>
      </c>
      <c r="K127" s="88" t="s">
        <v>44</v>
      </c>
      <c r="L127" s="13" t="b">
        <v>1</v>
      </c>
      <c r="M127" s="88" t="s">
        <v>155</v>
      </c>
      <c r="N127" s="88" t="s">
        <v>559</v>
      </c>
      <c r="O127" s="89" t="s">
        <v>40</v>
      </c>
      <c r="P127" s="92">
        <v>1.0</v>
      </c>
    </row>
    <row r="128" ht="22.5" customHeight="1">
      <c r="A128" s="86">
        <v>46194.0</v>
      </c>
      <c r="B128" s="87" t="s">
        <v>692</v>
      </c>
      <c r="C128" s="87" t="s">
        <v>31</v>
      </c>
      <c r="D128" s="88" t="s">
        <v>32</v>
      </c>
      <c r="E128" s="88" t="str">
        <f t="shared" ref="E128:E129" si="6">IF(OR(D128="Espontánea", D128="Reactiva"), "Orgánica", "")</f>
        <v>Orgánica</v>
      </c>
      <c r="F128" s="87" t="s">
        <v>252</v>
      </c>
      <c r="G128" s="41" t="s">
        <v>693</v>
      </c>
      <c r="H128" s="89" t="s">
        <v>88</v>
      </c>
      <c r="I128" s="96">
        <v>1.0</v>
      </c>
      <c r="J128" s="91">
        <v>900000.0</v>
      </c>
      <c r="K128" s="88" t="s">
        <v>44</v>
      </c>
      <c r="L128" s="13" t="b">
        <v>0</v>
      </c>
      <c r="M128" s="88" t="s">
        <v>155</v>
      </c>
      <c r="N128" s="88" t="s">
        <v>158</v>
      </c>
      <c r="O128" s="89" t="s">
        <v>49</v>
      </c>
      <c r="P128" s="92">
        <v>1.0</v>
      </c>
    </row>
    <row r="129" ht="22.5" customHeight="1">
      <c r="A129" s="86">
        <v>46194.0</v>
      </c>
      <c r="B129" s="87" t="s">
        <v>692</v>
      </c>
      <c r="C129" s="87" t="s">
        <v>31</v>
      </c>
      <c r="D129" s="88" t="s">
        <v>32</v>
      </c>
      <c r="E129" s="88" t="str">
        <f t="shared" si="6"/>
        <v>Orgánica</v>
      </c>
      <c r="F129" s="87" t="s">
        <v>694</v>
      </c>
      <c r="G129" s="41" t="s">
        <v>695</v>
      </c>
      <c r="H129" s="89" t="s">
        <v>88</v>
      </c>
      <c r="I129" s="96">
        <v>1.0</v>
      </c>
      <c r="J129" s="91">
        <v>900000.0</v>
      </c>
      <c r="K129" s="88" t="s">
        <v>44</v>
      </c>
      <c r="L129" s="13" t="b">
        <v>0</v>
      </c>
      <c r="M129" s="88" t="s">
        <v>155</v>
      </c>
      <c r="N129" s="88" t="s">
        <v>158</v>
      </c>
      <c r="O129" s="89" t="s">
        <v>49</v>
      </c>
      <c r="P129" s="92">
        <v>1.0</v>
      </c>
    </row>
    <row r="130" ht="22.5" customHeight="1">
      <c r="A130" s="86">
        <v>46203.0</v>
      </c>
      <c r="B130" s="87" t="s">
        <v>696</v>
      </c>
      <c r="C130" s="87" t="s">
        <v>150</v>
      </c>
      <c r="D130" s="88" t="s">
        <v>32</v>
      </c>
      <c r="E130" s="88" t="s">
        <v>34</v>
      </c>
      <c r="F130" s="87" t="s">
        <v>697</v>
      </c>
      <c r="G130" s="41" t="s">
        <v>698</v>
      </c>
      <c r="H130" s="89" t="str">
        <f>IFERROR(VLOOKUP(C130, 'Tabla 2'!$A$2:$D$302, 2, FALSE), "")</f>
        <v>Negocio Nacional</v>
      </c>
      <c r="I130" s="96">
        <f>IFERROR(VLOOKUP(C130, 'Tabla 2'!$A$2:$D$302, 3, FALSE), "")</f>
        <v>2</v>
      </c>
      <c r="J130" s="91">
        <f>IFERROR(VLOOKUP(C130, 'Tabla 2'!$A$2:$D$302, 4, FALSE), "")</f>
        <v>0</v>
      </c>
      <c r="K130" s="36" t="s">
        <v>44</v>
      </c>
      <c r="L130" s="13" t="b">
        <v>1</v>
      </c>
      <c r="M130" s="36" t="s">
        <v>128</v>
      </c>
      <c r="N130" s="36" t="s">
        <v>129</v>
      </c>
      <c r="O130" s="38" t="s">
        <v>40</v>
      </c>
      <c r="P130" s="39">
        <v>1.0</v>
      </c>
    </row>
    <row r="131" ht="22.5" customHeight="1">
      <c r="A131" s="86">
        <v>46203.0</v>
      </c>
      <c r="B131" s="87" t="s">
        <v>699</v>
      </c>
      <c r="C131" s="87" t="s">
        <v>61</v>
      </c>
      <c r="D131" s="88" t="s">
        <v>32</v>
      </c>
      <c r="E131" s="88" t="s">
        <v>34</v>
      </c>
      <c r="F131" s="87" t="s">
        <v>700</v>
      </c>
      <c r="G131" s="41" t="s">
        <v>701</v>
      </c>
      <c r="H131" s="89" t="str">
        <f>IFERROR(VLOOKUP(C131, 'Tabla 2'!$A$2:$D$302, 2, FALSE), "")</f>
        <v>Negocio Nacional</v>
      </c>
      <c r="I131" s="96">
        <f>IFERROR(VLOOKUP(C131, 'Tabla 2'!$A$2:$D$302, 3, FALSE), "")</f>
        <v>1</v>
      </c>
      <c r="J131" s="91">
        <f>IFERROR(VLOOKUP(C131, 'Tabla 2'!$A$2:$D$302, 4, FALSE), "")</f>
        <v>500000</v>
      </c>
      <c r="K131" s="36" t="s">
        <v>44</v>
      </c>
      <c r="L131" s="83"/>
      <c r="M131" s="36" t="s">
        <v>155</v>
      </c>
      <c r="N131" s="36" t="s">
        <v>158</v>
      </c>
      <c r="O131" s="38" t="s">
        <v>40</v>
      </c>
      <c r="P131" s="39">
        <v>1.0</v>
      </c>
    </row>
    <row r="132" ht="22.5" customHeight="1">
      <c r="A132" s="86">
        <v>46203.0</v>
      </c>
      <c r="B132" s="87" t="s">
        <v>702</v>
      </c>
      <c r="C132" s="87" t="s">
        <v>183</v>
      </c>
      <c r="D132" s="88" t="s">
        <v>32</v>
      </c>
      <c r="E132" s="88" t="s">
        <v>34</v>
      </c>
      <c r="F132" s="87" t="s">
        <v>703</v>
      </c>
      <c r="G132" s="41" t="s">
        <v>704</v>
      </c>
      <c r="H132" s="89" t="str">
        <f>IFERROR(VLOOKUP(C132, 'Tabla 2'!$A$2:$D$302, 2, FALSE), "")</f>
        <v>Generalista Nacional</v>
      </c>
      <c r="I132" s="96">
        <f>IFERROR(VLOOKUP(C132, 'Tabla 2'!$A$2:$D$302, 3, FALSE), "")</f>
        <v>3</v>
      </c>
      <c r="J132" s="91">
        <f>IFERROR(VLOOKUP(C132, 'Tabla 2'!$A$2:$D$302, 4, FALSE), "")</f>
        <v>0</v>
      </c>
      <c r="K132" s="36" t="s">
        <v>44</v>
      </c>
      <c r="L132" s="83"/>
      <c r="M132" s="36" t="s">
        <v>155</v>
      </c>
      <c r="N132" s="36" t="s">
        <v>158</v>
      </c>
      <c r="O132" s="38" t="s">
        <v>40</v>
      </c>
      <c r="P132" s="39">
        <v>1.0</v>
      </c>
    </row>
    <row r="133" ht="22.5" customHeight="1">
      <c r="A133" s="100">
        <v>46204.0</v>
      </c>
      <c r="B133" s="101" t="s">
        <v>705</v>
      </c>
      <c r="C133" s="101" t="s">
        <v>136</v>
      </c>
      <c r="D133" s="102" t="s">
        <v>32</v>
      </c>
      <c r="E133" s="102" t="s">
        <v>34</v>
      </c>
      <c r="F133" s="101" t="s">
        <v>706</v>
      </c>
      <c r="G133" s="103" t="s">
        <v>707</v>
      </c>
      <c r="H133" s="104" t="s">
        <v>42</v>
      </c>
      <c r="I133" s="56">
        <f t="array" ref="I133">IF(C133="", "", IFERROR(_xlfn.XLOOKUP(C133, 'Tabla 2'!A:A, 'Tabla 2'!C:C), ""))</f>
        <v>2</v>
      </c>
      <c r="J133" s="105">
        <f t="array" ref="J133">IF(C133="", "", IFERROR(_xlfn.XLOOKUP(C133, 'Tabla 2'!A:A, 'Tabla 2'!D:D), ""))</f>
        <v>0</v>
      </c>
      <c r="K133" s="106" t="s">
        <v>44</v>
      </c>
      <c r="L133" s="107"/>
      <c r="M133" s="108" t="s">
        <v>155</v>
      </c>
      <c r="N133" s="109" t="s">
        <v>158</v>
      </c>
      <c r="O133" s="110" t="s">
        <v>40</v>
      </c>
      <c r="P133" s="111"/>
    </row>
    <row r="134" ht="22.5" customHeight="1">
      <c r="A134" s="112">
        <v>46204.0</v>
      </c>
      <c r="B134" s="113" t="s">
        <v>708</v>
      </c>
      <c r="C134" s="113" t="s">
        <v>516</v>
      </c>
      <c r="D134" s="114" t="s">
        <v>32</v>
      </c>
      <c r="E134" s="114" t="s">
        <v>34</v>
      </c>
      <c r="F134" s="113" t="s">
        <v>706</v>
      </c>
      <c r="G134" s="115" t="s">
        <v>709</v>
      </c>
      <c r="H134" s="116" t="s">
        <v>36</v>
      </c>
      <c r="I134" s="49">
        <v>3.0</v>
      </c>
      <c r="J134" s="117">
        <f t="array" ref="J134">IF(C134="", "", IFERROR(_xlfn.XLOOKUP(C134, 'Tabla 2'!A:A, 'Tabla 2'!D:D), ""))</f>
        <v>0</v>
      </c>
      <c r="K134" s="118" t="s">
        <v>44</v>
      </c>
      <c r="L134" s="119"/>
      <c r="M134" s="120" t="s">
        <v>155</v>
      </c>
      <c r="N134" s="121" t="s">
        <v>158</v>
      </c>
      <c r="O134" s="122" t="s">
        <v>40</v>
      </c>
      <c r="P134" s="123"/>
    </row>
    <row r="135" ht="22.5" customHeight="1">
      <c r="A135" s="100">
        <v>46204.0</v>
      </c>
      <c r="B135" s="101" t="s">
        <v>710</v>
      </c>
      <c r="C135" s="101" t="s">
        <v>517</v>
      </c>
      <c r="D135" s="102" t="s">
        <v>32</v>
      </c>
      <c r="E135" s="102" t="s">
        <v>34</v>
      </c>
      <c r="F135" s="101" t="s">
        <v>706</v>
      </c>
      <c r="G135" s="103" t="s">
        <v>711</v>
      </c>
      <c r="H135" s="104" t="s">
        <v>36</v>
      </c>
      <c r="I135" s="124">
        <v>3.0</v>
      </c>
      <c r="J135" s="105">
        <f t="array" ref="J135">IF(C135="", "", IFERROR(_xlfn.XLOOKUP(C135, 'Tabla 2'!A:A, 'Tabla 2'!D:D), ""))</f>
        <v>0</v>
      </c>
      <c r="K135" s="106" t="s">
        <v>44</v>
      </c>
      <c r="L135" s="107"/>
      <c r="M135" s="108" t="s">
        <v>155</v>
      </c>
      <c r="N135" s="109" t="s">
        <v>158</v>
      </c>
      <c r="O135" s="110" t="s">
        <v>40</v>
      </c>
      <c r="P135" s="111"/>
    </row>
    <row r="136" ht="22.5" customHeight="1">
      <c r="A136" s="112">
        <v>46204.0</v>
      </c>
      <c r="B136" s="113" t="s">
        <v>712</v>
      </c>
      <c r="C136" s="29" t="s">
        <v>166</v>
      </c>
      <c r="D136" s="114" t="s">
        <v>32</v>
      </c>
      <c r="E136" s="114" t="s">
        <v>34</v>
      </c>
      <c r="F136" s="125"/>
      <c r="G136" s="126" t="s">
        <v>713</v>
      </c>
      <c r="H136" s="116" t="s">
        <v>88</v>
      </c>
      <c r="I136" s="37">
        <f t="array" ref="I136">IF(C136="", "", IFERROR(_xlfn.XLOOKUP(C136, 'Tabla 2'!A:A, 'Tabla 2'!C:C), ""))</f>
        <v>2</v>
      </c>
      <c r="J136" s="117">
        <f t="array" ref="J136">IF(C136="", "", IFERROR(_xlfn.XLOOKUP(C136, 'Tabla 2'!A:A, 'Tabla 2'!D:D), ""))</f>
        <v>0</v>
      </c>
      <c r="K136" s="118" t="s">
        <v>44</v>
      </c>
      <c r="L136" s="119"/>
      <c r="M136" s="127" t="s">
        <v>128</v>
      </c>
      <c r="N136" s="128" t="s">
        <v>129</v>
      </c>
      <c r="O136" s="89" t="s">
        <v>49</v>
      </c>
      <c r="P136" s="123"/>
    </row>
    <row r="137" ht="22.5" customHeight="1">
      <c r="A137" s="100">
        <v>46204.0</v>
      </c>
      <c r="B137" s="101" t="s">
        <v>714</v>
      </c>
      <c r="C137" s="23" t="s">
        <v>166</v>
      </c>
      <c r="D137" s="102" t="s">
        <v>32</v>
      </c>
      <c r="E137" s="102" t="s">
        <v>34</v>
      </c>
      <c r="F137" s="101" t="s">
        <v>706</v>
      </c>
      <c r="G137" s="103" t="s">
        <v>715</v>
      </c>
      <c r="H137" s="104" t="s">
        <v>88</v>
      </c>
      <c r="I137" s="56">
        <f t="array" ref="I137">IF(C137="", "", IFERROR(_xlfn.XLOOKUP(C137, 'Tabla 2'!A:A, 'Tabla 2'!C:C), ""))</f>
        <v>2</v>
      </c>
      <c r="J137" s="105">
        <f t="array" ref="J137">IF(C137="", "", IFERROR(_xlfn.XLOOKUP(C137, 'Tabla 2'!A:A, 'Tabla 2'!D:D), ""))</f>
        <v>0</v>
      </c>
      <c r="K137" s="106" t="s">
        <v>44</v>
      </c>
      <c r="L137" s="107"/>
      <c r="M137" s="108" t="s">
        <v>155</v>
      </c>
      <c r="N137" s="109" t="s">
        <v>158</v>
      </c>
      <c r="O137" s="110" t="s">
        <v>40</v>
      </c>
      <c r="P137" s="111"/>
    </row>
    <row r="138" ht="22.5" customHeight="1">
      <c r="A138" s="112">
        <v>46204.0</v>
      </c>
      <c r="B138" s="113" t="s">
        <v>705</v>
      </c>
      <c r="C138" s="113" t="s">
        <v>518</v>
      </c>
      <c r="D138" s="114" t="s">
        <v>32</v>
      </c>
      <c r="E138" s="114" t="s">
        <v>34</v>
      </c>
      <c r="F138" s="113" t="s">
        <v>706</v>
      </c>
      <c r="G138" s="115" t="s">
        <v>716</v>
      </c>
      <c r="H138" s="116" t="s">
        <v>36</v>
      </c>
      <c r="I138" s="49">
        <v>3.0</v>
      </c>
      <c r="J138" s="117">
        <f t="array" ref="J138">IF(C138="", "", IFERROR(_xlfn.XLOOKUP(C138, 'Tabla 2'!A:A, 'Tabla 2'!D:D), ""))</f>
        <v>0</v>
      </c>
      <c r="K138" s="118" t="s">
        <v>44</v>
      </c>
      <c r="L138" s="119"/>
      <c r="M138" s="120" t="s">
        <v>155</v>
      </c>
      <c r="N138" s="121" t="s">
        <v>158</v>
      </c>
      <c r="O138" s="122" t="s">
        <v>40</v>
      </c>
      <c r="P138" s="123"/>
    </row>
    <row r="139" ht="22.5" customHeight="1">
      <c r="A139" s="100">
        <v>46204.0</v>
      </c>
      <c r="B139" s="101" t="s">
        <v>717</v>
      </c>
      <c r="C139" s="101" t="s">
        <v>61</v>
      </c>
      <c r="D139" s="129" t="s">
        <v>140</v>
      </c>
      <c r="E139" s="130" t="s">
        <v>718</v>
      </c>
      <c r="F139" s="101" t="s">
        <v>719</v>
      </c>
      <c r="G139" s="103" t="s">
        <v>720</v>
      </c>
      <c r="H139" s="104" t="s">
        <v>42</v>
      </c>
      <c r="I139" s="56">
        <f t="array" ref="I139">IF(C139="", "", IFERROR(_xlfn.XLOOKUP(C139, 'Tabla 2'!A:A, 'Tabla 2'!C:C), ""))</f>
        <v>1</v>
      </c>
      <c r="J139" s="105">
        <f t="array" ref="J139">IF(C139="", "", IFERROR(_xlfn.XLOOKUP(C139, 'Tabla 2'!A:A, 'Tabla 2'!D:D), ""))</f>
        <v>500000</v>
      </c>
      <c r="K139" s="106" t="s">
        <v>44</v>
      </c>
      <c r="L139" s="131" t="b">
        <v>1</v>
      </c>
      <c r="M139" s="108" t="s">
        <v>155</v>
      </c>
      <c r="N139" s="108" t="s">
        <v>184</v>
      </c>
      <c r="O139" s="110" t="s">
        <v>47</v>
      </c>
      <c r="P139" s="111"/>
    </row>
    <row r="140" ht="22.5" customHeight="1">
      <c r="A140" s="112">
        <v>46204.0</v>
      </c>
      <c r="B140" s="113" t="s">
        <v>721</v>
      </c>
      <c r="C140" s="113" t="s">
        <v>78</v>
      </c>
      <c r="D140" s="132" t="s">
        <v>140</v>
      </c>
      <c r="E140" s="114" t="s">
        <v>34</v>
      </c>
      <c r="F140" s="113" t="s">
        <v>722</v>
      </c>
      <c r="G140" s="115" t="s">
        <v>723</v>
      </c>
      <c r="H140" s="116" t="s">
        <v>36</v>
      </c>
      <c r="I140" s="37">
        <f t="array" ref="I140">IF(C140="", "", IFERROR(_xlfn.XLOOKUP(C140, 'Tabla 2'!A:A, 'Tabla 2'!C:C), ""))</f>
        <v>1</v>
      </c>
      <c r="J140" s="117">
        <f t="array" ref="J140">IF(C140="", "", IFERROR(_xlfn.XLOOKUP(C140, 'Tabla 2'!A:A, 'Tabla 2'!D:D), ""))</f>
        <v>200000</v>
      </c>
      <c r="K140" s="118" t="s">
        <v>44</v>
      </c>
      <c r="L140" s="133" t="b">
        <v>1</v>
      </c>
      <c r="M140" s="120" t="s">
        <v>155</v>
      </c>
      <c r="N140" s="121" t="s">
        <v>158</v>
      </c>
      <c r="O140" s="89" t="s">
        <v>49</v>
      </c>
      <c r="P140" s="123"/>
    </row>
    <row r="141" ht="22.5" customHeight="1">
      <c r="A141" s="100">
        <v>46227.0</v>
      </c>
      <c r="B141" s="101" t="s">
        <v>724</v>
      </c>
      <c r="C141" s="23" t="s">
        <v>411</v>
      </c>
      <c r="D141" s="129" t="s">
        <v>140</v>
      </c>
      <c r="E141" s="102" t="s">
        <v>34</v>
      </c>
      <c r="F141" s="101" t="s">
        <v>725</v>
      </c>
      <c r="G141" s="103" t="s">
        <v>726</v>
      </c>
      <c r="H141" s="104" t="s">
        <v>88</v>
      </c>
      <c r="I141" s="56">
        <f t="array" ref="I141">IF(C141="", "", IFERROR(_xlfn.XLOOKUP(C141, 'Tabla 2'!A:A, 'Tabla 2'!C:C), ""))</f>
        <v>3</v>
      </c>
      <c r="J141" s="105">
        <f t="array" ref="J141">IF(C141="", "", IFERROR(_xlfn.XLOOKUP(C141, 'Tabla 2'!A:A, 'Tabla 2'!D:D), ""))</f>
        <v>0</v>
      </c>
      <c r="K141" s="106" t="s">
        <v>44</v>
      </c>
      <c r="L141" s="131" t="b">
        <v>1</v>
      </c>
      <c r="M141" s="134" t="s">
        <v>46</v>
      </c>
      <c r="N141" s="135" t="s">
        <v>48</v>
      </c>
      <c r="O141" s="110" t="s">
        <v>727</v>
      </c>
      <c r="P141" s="111"/>
    </row>
    <row r="142" ht="22.5" customHeight="1">
      <c r="A142" s="112">
        <v>46227.0</v>
      </c>
      <c r="B142" s="113" t="s">
        <v>724</v>
      </c>
      <c r="C142" s="113" t="s">
        <v>56</v>
      </c>
      <c r="D142" s="132" t="s">
        <v>140</v>
      </c>
      <c r="E142" s="114" t="s">
        <v>34</v>
      </c>
      <c r="F142" s="113" t="s">
        <v>725</v>
      </c>
      <c r="G142" s="126" t="s">
        <v>728</v>
      </c>
      <c r="H142" s="116" t="s">
        <v>88</v>
      </c>
      <c r="I142" s="37">
        <f t="array" ref="I142">IF(C142="", "", IFERROR(_xlfn.XLOOKUP(C142, 'Tabla 2'!A:A, 'Tabla 2'!C:C), ""))</f>
        <v>1</v>
      </c>
      <c r="J142" s="117">
        <f t="array" ref="J142">IF(C142="", "", IFERROR(_xlfn.XLOOKUP(C142, 'Tabla 2'!A:A, 'Tabla 2'!D:D), ""))</f>
        <v>500000</v>
      </c>
      <c r="K142" s="118" t="s">
        <v>44</v>
      </c>
      <c r="L142" s="133" t="b">
        <v>1</v>
      </c>
      <c r="M142" s="136" t="s">
        <v>46</v>
      </c>
      <c r="N142" s="137" t="s">
        <v>48</v>
      </c>
      <c r="O142" s="122" t="s">
        <v>727</v>
      </c>
      <c r="P142" s="123"/>
    </row>
    <row r="143" ht="22.5" customHeight="1">
      <c r="A143" s="100">
        <v>46227.0</v>
      </c>
      <c r="B143" s="101" t="s">
        <v>724</v>
      </c>
      <c r="C143" s="101" t="s">
        <v>120</v>
      </c>
      <c r="D143" s="129" t="s">
        <v>140</v>
      </c>
      <c r="E143" s="102" t="s">
        <v>34</v>
      </c>
      <c r="F143" s="101" t="s">
        <v>725</v>
      </c>
      <c r="G143" s="103" t="s">
        <v>729</v>
      </c>
      <c r="H143" s="104" t="s">
        <v>88</v>
      </c>
      <c r="I143" s="56">
        <f t="array" ref="I143">IF(C143="", "", IFERROR(_xlfn.XLOOKUP(C143, 'Tabla 2'!A:A, 'Tabla 2'!C:C), ""))</f>
        <v>3</v>
      </c>
      <c r="J143" s="105">
        <f t="array" ref="J143">IF(C143="", "", IFERROR(_xlfn.XLOOKUP(C143, 'Tabla 2'!A:A, 'Tabla 2'!D:D), ""))</f>
        <v>0</v>
      </c>
      <c r="K143" s="106" t="s">
        <v>44</v>
      </c>
      <c r="L143" s="131" t="b">
        <v>1</v>
      </c>
      <c r="M143" s="134" t="s">
        <v>46</v>
      </c>
      <c r="N143" s="135" t="s">
        <v>48</v>
      </c>
      <c r="O143" s="110" t="s">
        <v>727</v>
      </c>
      <c r="P143" s="111"/>
    </row>
    <row r="144" ht="22.5" customHeight="1">
      <c r="A144" s="112">
        <v>46227.0</v>
      </c>
      <c r="B144" s="113" t="s">
        <v>730</v>
      </c>
      <c r="C144" s="29" t="s">
        <v>166</v>
      </c>
      <c r="D144" s="132" t="s">
        <v>140</v>
      </c>
      <c r="E144" s="114" t="s">
        <v>34</v>
      </c>
      <c r="F144" s="113" t="s">
        <v>731</v>
      </c>
      <c r="G144" s="115" t="s">
        <v>732</v>
      </c>
      <c r="H144" s="116" t="s">
        <v>88</v>
      </c>
      <c r="I144" s="37">
        <f t="array" ref="I144">IF(C144="", "", IFERROR(_xlfn.XLOOKUP(C144, 'Tabla 2'!A:A, 'Tabla 2'!C:C), ""))</f>
        <v>2</v>
      </c>
      <c r="J144" s="117">
        <f t="array" ref="J144">IF(C144="", "", IFERROR(_xlfn.XLOOKUP(C144, 'Tabla 2'!A:A, 'Tabla 2'!D:D), ""))</f>
        <v>0</v>
      </c>
      <c r="K144" s="118" t="s">
        <v>44</v>
      </c>
      <c r="L144" s="133" t="b">
        <v>1</v>
      </c>
      <c r="M144" s="136" t="s">
        <v>46</v>
      </c>
      <c r="N144" s="137" t="s">
        <v>48</v>
      </c>
      <c r="O144" s="122" t="s">
        <v>727</v>
      </c>
      <c r="P144" s="123"/>
    </row>
    <row r="145" ht="22.5" customHeight="1">
      <c r="A145" s="100">
        <v>46227.0</v>
      </c>
      <c r="B145" s="101" t="s">
        <v>733</v>
      </c>
      <c r="C145" s="101" t="s">
        <v>70</v>
      </c>
      <c r="D145" s="129" t="s">
        <v>140</v>
      </c>
      <c r="E145" s="102" t="s">
        <v>34</v>
      </c>
      <c r="F145" s="101" t="s">
        <v>734</v>
      </c>
      <c r="G145" s="103" t="s">
        <v>735</v>
      </c>
      <c r="H145" s="104" t="s">
        <v>88</v>
      </c>
      <c r="I145" s="56">
        <f t="array" ref="I145">IF(C145="", "", IFERROR(_xlfn.XLOOKUP(C145, 'Tabla 2'!A:A, 'Tabla 2'!C:C), ""))</f>
        <v>1</v>
      </c>
      <c r="J145" s="105">
        <f t="array" ref="J145">IF(C145="", "", IFERROR(_xlfn.XLOOKUP(C145, 'Tabla 2'!A:A, 'Tabla 2'!D:D), ""))</f>
        <v>800000</v>
      </c>
      <c r="K145" s="106" t="s">
        <v>44</v>
      </c>
      <c r="L145" s="131" t="b">
        <v>1</v>
      </c>
      <c r="M145" s="134" t="s">
        <v>46</v>
      </c>
      <c r="N145" s="135" t="s">
        <v>48</v>
      </c>
      <c r="O145" s="110" t="s">
        <v>727</v>
      </c>
      <c r="P145" s="111"/>
    </row>
    <row r="146" ht="22.5" customHeight="1">
      <c r="A146" s="112">
        <v>46227.0</v>
      </c>
      <c r="B146" s="113" t="s">
        <v>736</v>
      </c>
      <c r="C146" s="113" t="s">
        <v>168</v>
      </c>
      <c r="D146" s="132" t="s">
        <v>140</v>
      </c>
      <c r="E146" s="114" t="s">
        <v>34</v>
      </c>
      <c r="F146" s="113" t="s">
        <v>725</v>
      </c>
      <c r="G146" s="126" t="s">
        <v>737</v>
      </c>
      <c r="H146" s="116" t="s">
        <v>88</v>
      </c>
      <c r="I146" s="37">
        <f t="array" ref="I146">IF(C146="", "", IFERROR(_xlfn.XLOOKUP(C146, 'Tabla 2'!A:A, 'Tabla 2'!C:C), ""))</f>
        <v>2</v>
      </c>
      <c r="J146" s="117">
        <f t="array" ref="J146">IF(C146="", "", IFERROR(_xlfn.XLOOKUP(C146, 'Tabla 2'!A:A, 'Tabla 2'!D:D), ""))</f>
        <v>0</v>
      </c>
      <c r="K146" s="118" t="s">
        <v>44</v>
      </c>
      <c r="L146" s="133" t="b">
        <v>1</v>
      </c>
      <c r="M146" s="136" t="s">
        <v>46</v>
      </c>
      <c r="N146" s="137" t="s">
        <v>48</v>
      </c>
      <c r="O146" s="122" t="s">
        <v>727</v>
      </c>
      <c r="P146" s="123"/>
    </row>
    <row r="147" ht="22.5" customHeight="1">
      <c r="A147" s="100">
        <v>46229.0</v>
      </c>
      <c r="B147" s="101" t="s">
        <v>738</v>
      </c>
      <c r="C147" s="101" t="s">
        <v>443</v>
      </c>
      <c r="D147" s="102" t="s">
        <v>32</v>
      </c>
      <c r="E147" s="102" t="s">
        <v>34</v>
      </c>
      <c r="F147" s="101" t="s">
        <v>739</v>
      </c>
      <c r="G147" s="103" t="s">
        <v>740</v>
      </c>
      <c r="H147" s="104" t="s">
        <v>36</v>
      </c>
      <c r="I147" s="56">
        <f t="array" ref="I147">IF(C147="", "", IFERROR(_xlfn.XLOOKUP(C147, 'Tabla 2'!A:A, 'Tabla 2'!C:C), ""))</f>
        <v>3</v>
      </c>
      <c r="J147" s="105">
        <f t="array" ref="J147">IF(C147="", "", IFERROR(_xlfn.XLOOKUP(C147, 'Tabla 2'!A:A, 'Tabla 2'!D:D), ""))</f>
        <v>0</v>
      </c>
      <c r="K147" s="106" t="s">
        <v>44</v>
      </c>
      <c r="L147" s="107"/>
      <c r="M147" s="129" t="s">
        <v>128</v>
      </c>
      <c r="N147" s="138" t="s">
        <v>129</v>
      </c>
      <c r="O147" s="89" t="s">
        <v>49</v>
      </c>
      <c r="P147" s="111"/>
    </row>
    <row r="148" ht="22.5" customHeight="1">
      <c r="A148" s="112">
        <v>46229.0</v>
      </c>
      <c r="B148" s="113" t="s">
        <v>741</v>
      </c>
      <c r="C148" s="113" t="s">
        <v>31</v>
      </c>
      <c r="D148" s="132" t="s">
        <v>140</v>
      </c>
      <c r="E148" s="139" t="s">
        <v>718</v>
      </c>
      <c r="F148" s="113" t="s">
        <v>742</v>
      </c>
      <c r="G148" s="115" t="s">
        <v>743</v>
      </c>
      <c r="H148" s="116" t="s">
        <v>88</v>
      </c>
      <c r="I148" s="37">
        <f t="array" ref="I148">IF(C148="", "", IFERROR(_xlfn.XLOOKUP(C148, 'Tabla 2'!A:A, 'Tabla 2'!C:C), ""))</f>
        <v>1</v>
      </c>
      <c r="J148" s="117">
        <f t="array" ref="J148">IF(C148="", "", IFERROR(_xlfn.XLOOKUP(C148, 'Tabla 2'!A:A, 'Tabla 2'!D:D), ""))</f>
        <v>900000</v>
      </c>
      <c r="K148" s="118" t="s">
        <v>44</v>
      </c>
      <c r="L148" s="133" t="b">
        <v>1</v>
      </c>
      <c r="M148" s="114" t="s">
        <v>155</v>
      </c>
      <c r="N148" s="140" t="s">
        <v>559</v>
      </c>
      <c r="O148" s="29" t="s">
        <v>40</v>
      </c>
      <c r="P148" s="123"/>
    </row>
    <row r="149" ht="22.5" customHeight="1">
      <c r="A149" s="100">
        <v>46229.0</v>
      </c>
      <c r="B149" s="101" t="s">
        <v>744</v>
      </c>
      <c r="C149" s="101" t="s">
        <v>31</v>
      </c>
      <c r="D149" s="102" t="s">
        <v>32</v>
      </c>
      <c r="E149" s="102" t="s">
        <v>34</v>
      </c>
      <c r="F149" s="101" t="s">
        <v>745</v>
      </c>
      <c r="G149" s="103" t="s">
        <v>746</v>
      </c>
      <c r="H149" s="104" t="s">
        <v>88</v>
      </c>
      <c r="I149" s="56">
        <f t="array" ref="I149">IF(C149="", "", IFERROR(_xlfn.XLOOKUP(C149, 'Tabla 2'!A:A, 'Tabla 2'!C:C), ""))</f>
        <v>1</v>
      </c>
      <c r="J149" s="105">
        <f t="array" ref="J149">IF(C149="", "", IFERROR(_xlfn.XLOOKUP(C149, 'Tabla 2'!A:A, 'Tabla 2'!D:D), ""))</f>
        <v>900000</v>
      </c>
      <c r="K149" s="106" t="s">
        <v>44</v>
      </c>
      <c r="L149" s="141"/>
      <c r="M149" s="102" t="s">
        <v>155</v>
      </c>
      <c r="N149" s="142" t="s">
        <v>158</v>
      </c>
      <c r="O149" s="89" t="s">
        <v>49</v>
      </c>
      <c r="P149" s="111"/>
    </row>
    <row r="150" ht="22.5" customHeight="1">
      <c r="A150" s="112">
        <v>46230.0</v>
      </c>
      <c r="B150" s="113" t="s">
        <v>747</v>
      </c>
      <c r="C150" s="113" t="s">
        <v>519</v>
      </c>
      <c r="D150" s="114" t="s">
        <v>32</v>
      </c>
      <c r="E150" s="114" t="s">
        <v>34</v>
      </c>
      <c r="F150" s="113" t="s">
        <v>748</v>
      </c>
      <c r="G150" s="115" t="s">
        <v>749</v>
      </c>
      <c r="H150" s="116" t="s">
        <v>36</v>
      </c>
      <c r="I150" s="49">
        <v>3.0</v>
      </c>
      <c r="J150" s="117">
        <f t="array" ref="J150">IF(C150="", "", IFERROR(_xlfn.XLOOKUP(C150, 'Tabla 2'!A:A, 'Tabla 2'!D:D), ""))</f>
        <v>0</v>
      </c>
      <c r="K150" s="118" t="s">
        <v>44</v>
      </c>
      <c r="L150" s="119"/>
      <c r="M150" s="132" t="s">
        <v>128</v>
      </c>
      <c r="N150" s="143" t="s">
        <v>575</v>
      </c>
      <c r="O150" s="89" t="s">
        <v>49</v>
      </c>
      <c r="P150" s="123"/>
    </row>
    <row r="151" ht="22.5" customHeight="1">
      <c r="A151" s="100">
        <v>46230.0</v>
      </c>
      <c r="B151" s="101" t="s">
        <v>747</v>
      </c>
      <c r="C151" s="101" t="s">
        <v>348</v>
      </c>
      <c r="D151" s="102" t="s">
        <v>32</v>
      </c>
      <c r="E151" s="102" t="s">
        <v>34</v>
      </c>
      <c r="F151" s="101" t="s">
        <v>748</v>
      </c>
      <c r="G151" s="103" t="s">
        <v>750</v>
      </c>
      <c r="H151" s="104" t="s">
        <v>36</v>
      </c>
      <c r="I151" s="56">
        <v>3.0</v>
      </c>
      <c r="J151" s="105">
        <f t="array" ref="J151">IF(C151="", "", IFERROR(_xlfn.XLOOKUP(C151, 'Tabla 2'!A:A, 'Tabla 2'!D:D), ""))</f>
        <v>0</v>
      </c>
      <c r="K151" s="106" t="s">
        <v>44</v>
      </c>
      <c r="L151" s="107"/>
      <c r="M151" s="129" t="s">
        <v>128</v>
      </c>
      <c r="N151" s="138" t="s">
        <v>575</v>
      </c>
      <c r="O151" s="89" t="s">
        <v>49</v>
      </c>
      <c r="P151" s="111"/>
    </row>
    <row r="152" ht="22.5" customHeight="1">
      <c r="A152" s="112">
        <v>46230.0</v>
      </c>
      <c r="B152" s="113" t="s">
        <v>751</v>
      </c>
      <c r="C152" s="113" t="s">
        <v>453</v>
      </c>
      <c r="D152" s="114" t="s">
        <v>32</v>
      </c>
      <c r="E152" s="114" t="s">
        <v>34</v>
      </c>
      <c r="F152" s="113" t="s">
        <v>748</v>
      </c>
      <c r="G152" s="115" t="s">
        <v>752</v>
      </c>
      <c r="H152" s="116" t="s">
        <v>36</v>
      </c>
      <c r="I152" s="37">
        <v>3.0</v>
      </c>
      <c r="J152" s="117">
        <f t="array" ref="J152">IF(C152="", "", IFERROR(_xlfn.XLOOKUP(C152, 'Tabla 2'!A:A, 'Tabla 2'!D:D), ""))</f>
        <v>0</v>
      </c>
      <c r="K152" s="118" t="s">
        <v>44</v>
      </c>
      <c r="L152" s="119"/>
      <c r="M152" s="132" t="s">
        <v>128</v>
      </c>
      <c r="N152" s="143" t="s">
        <v>575</v>
      </c>
      <c r="O152" s="144" t="s">
        <v>49</v>
      </c>
      <c r="P152" s="123"/>
    </row>
    <row r="153" ht="22.5" customHeight="1">
      <c r="A153" s="100">
        <v>46231.0</v>
      </c>
      <c r="B153" s="101" t="s">
        <v>753</v>
      </c>
      <c r="C153" s="101" t="s">
        <v>520</v>
      </c>
      <c r="D153" s="102" t="s">
        <v>32</v>
      </c>
      <c r="E153" s="102" t="s">
        <v>34</v>
      </c>
      <c r="F153" s="101" t="s">
        <v>748</v>
      </c>
      <c r="G153" s="103" t="s">
        <v>754</v>
      </c>
      <c r="H153" s="104" t="s">
        <v>36</v>
      </c>
      <c r="I153" s="124">
        <v>3.0</v>
      </c>
      <c r="J153" s="105">
        <f t="array" ref="J153">IF(C153="", "", IFERROR(_xlfn.XLOOKUP(C153, 'Tabla 2'!A:A, 'Tabla 2'!D:D), ""))</f>
        <v>0</v>
      </c>
      <c r="K153" s="106" t="s">
        <v>44</v>
      </c>
      <c r="L153" s="107"/>
      <c r="M153" s="129" t="s">
        <v>128</v>
      </c>
      <c r="N153" s="138" t="s">
        <v>575</v>
      </c>
      <c r="O153" s="145" t="s">
        <v>755</v>
      </c>
      <c r="P153" s="111"/>
    </row>
    <row r="154" ht="22.5" customHeight="1">
      <c r="A154" s="112">
        <v>46231.0</v>
      </c>
      <c r="B154" s="113" t="s">
        <v>756</v>
      </c>
      <c r="C154" s="113" t="s">
        <v>757</v>
      </c>
      <c r="D154" s="114" t="s">
        <v>32</v>
      </c>
      <c r="E154" s="114" t="s">
        <v>34</v>
      </c>
      <c r="F154" s="113" t="s">
        <v>748</v>
      </c>
      <c r="G154" s="115" t="s">
        <v>758</v>
      </c>
      <c r="H154" s="116" t="s">
        <v>36</v>
      </c>
      <c r="I154" s="37">
        <v>3.0</v>
      </c>
      <c r="J154" s="117" t="str">
        <f t="array" ref="J154">IF(C154="", "", IFERROR(_xlfn.XLOOKUP(C154, 'Tabla 2'!A:A, 'Tabla 2'!D:D), ""))</f>
        <v/>
      </c>
      <c r="K154" s="118" t="s">
        <v>44</v>
      </c>
      <c r="L154" s="119"/>
      <c r="M154" s="132" t="s">
        <v>128</v>
      </c>
      <c r="N154" s="143" t="s">
        <v>575</v>
      </c>
      <c r="O154" s="89" t="s">
        <v>49</v>
      </c>
      <c r="P154" s="123"/>
    </row>
    <row r="155" ht="22.5" customHeight="1">
      <c r="A155" s="100">
        <v>46233.0</v>
      </c>
      <c r="B155" s="101" t="s">
        <v>759</v>
      </c>
      <c r="C155" s="101" t="s">
        <v>77</v>
      </c>
      <c r="D155" s="129" t="s">
        <v>140</v>
      </c>
      <c r="E155" s="102" t="s">
        <v>34</v>
      </c>
      <c r="F155" s="101" t="s">
        <v>760</v>
      </c>
      <c r="G155" s="103" t="s">
        <v>761</v>
      </c>
      <c r="H155" s="104" t="s">
        <v>76</v>
      </c>
      <c r="I155" s="56">
        <f t="array" ref="I155">IF(C155="", "", IFERROR(_xlfn.XLOOKUP(C155, 'Tabla 2'!A:A, 'Tabla 2'!C:C), ""))</f>
        <v>1</v>
      </c>
      <c r="J155" s="105">
        <f t="array" ref="J155">IF(C155="", "", IFERROR(_xlfn.XLOOKUP(C155, 'Tabla 2'!A:A, 'Tabla 2'!D:D), ""))</f>
        <v>700000</v>
      </c>
      <c r="K155" s="106" t="s">
        <v>44</v>
      </c>
      <c r="L155" s="131" t="b">
        <v>1</v>
      </c>
      <c r="M155" s="134" t="s">
        <v>46</v>
      </c>
      <c r="N155" s="135" t="s">
        <v>48</v>
      </c>
      <c r="O155" s="110" t="s">
        <v>727</v>
      </c>
      <c r="P155" s="111"/>
    </row>
    <row r="156" ht="22.5" customHeight="1">
      <c r="A156" s="112">
        <v>46234.0</v>
      </c>
      <c r="B156" s="113" t="s">
        <v>762</v>
      </c>
      <c r="C156" s="113" t="s">
        <v>156</v>
      </c>
      <c r="D156" s="132" t="s">
        <v>140</v>
      </c>
      <c r="E156" s="114" t="s">
        <v>34</v>
      </c>
      <c r="F156" s="113" t="s">
        <v>760</v>
      </c>
      <c r="G156" s="115" t="s">
        <v>763</v>
      </c>
      <c r="H156" s="116" t="s">
        <v>76</v>
      </c>
      <c r="I156" s="37">
        <f t="array" ref="I156">IF(C156="", "", IFERROR(_xlfn.XLOOKUP(C156, 'Tabla 2'!A:A, 'Tabla 2'!C:C), ""))</f>
        <v>2</v>
      </c>
      <c r="J156" s="117">
        <f t="array" ref="J156">IF(C156="", "", IFERROR(_xlfn.XLOOKUP(C156, 'Tabla 2'!A:A, 'Tabla 2'!D:D), ""))</f>
        <v>0</v>
      </c>
      <c r="K156" s="118" t="s">
        <v>44</v>
      </c>
      <c r="L156" s="133" t="b">
        <v>1</v>
      </c>
      <c r="M156" s="136" t="s">
        <v>46</v>
      </c>
      <c r="N156" s="137" t="s">
        <v>48</v>
      </c>
      <c r="O156" s="122" t="s">
        <v>727</v>
      </c>
      <c r="P156" s="123"/>
    </row>
    <row r="157" ht="22.5" customHeight="1">
      <c r="A157" s="100">
        <v>46261.0</v>
      </c>
      <c r="B157" s="101" t="s">
        <v>764</v>
      </c>
      <c r="C157" s="101" t="s">
        <v>61</v>
      </c>
      <c r="D157" s="129" t="s">
        <v>140</v>
      </c>
      <c r="E157" s="102" t="s">
        <v>34</v>
      </c>
      <c r="F157" s="101" t="s">
        <v>765</v>
      </c>
      <c r="G157" s="103" t="s">
        <v>766</v>
      </c>
      <c r="H157" s="23" t="str">
        <f>IF(C157="", "", IFERROR(VLOOKUP(C157, 'Tabla 2'!A:D, 2, FALSE), ""))</f>
        <v>Negocio Nacional</v>
      </c>
      <c r="I157" s="56">
        <f>IF(C157="", "", IFERROR(VLOOKUP(C157, 'Tabla 2'!A:D, 3, FALSE), ""))</f>
        <v>1</v>
      </c>
      <c r="J157" s="105">
        <f>IF(C157="", "", IFERROR(VLOOKUP(C157, 'Tabla 2'!A:D, 4, FALSE), ""))</f>
        <v>500000</v>
      </c>
      <c r="K157" s="106" t="s">
        <v>44</v>
      </c>
      <c r="L157" s="131" t="b">
        <v>1</v>
      </c>
      <c r="M157" s="108" t="s">
        <v>155</v>
      </c>
      <c r="N157" s="108" t="s">
        <v>184</v>
      </c>
      <c r="O157" s="110" t="s">
        <v>767</v>
      </c>
      <c r="P157" s="111"/>
    </row>
    <row r="158" ht="22.5" customHeight="1">
      <c r="A158" s="112">
        <v>46244.0</v>
      </c>
      <c r="B158" s="113" t="s">
        <v>768</v>
      </c>
      <c r="C158" s="113" t="s">
        <v>146</v>
      </c>
      <c r="D158" s="132" t="s">
        <v>140</v>
      </c>
      <c r="E158" s="114" t="s">
        <v>34</v>
      </c>
      <c r="F158" s="113" t="s">
        <v>769</v>
      </c>
      <c r="G158" s="115" t="s">
        <v>770</v>
      </c>
      <c r="H158" s="29" t="str">
        <f>IF(C158="", "", IFERROR(VLOOKUP(C158, 'Tabla 2'!A:D, 2, FALSE), ""))</f>
        <v>Sustentabilidad Nacional</v>
      </c>
      <c r="I158" s="37">
        <f>IF(C158="", "", IFERROR(VLOOKUP(C158, 'Tabla 2'!A:D, 3, FALSE), ""))</f>
        <v>2</v>
      </c>
      <c r="J158" s="117">
        <f>IF(C158="", "", IFERROR(VLOOKUP(C158, 'Tabla 2'!A:D, 4, FALSE), ""))</f>
        <v>0</v>
      </c>
      <c r="K158" s="118" t="s">
        <v>44</v>
      </c>
      <c r="L158" s="133" t="b">
        <v>1</v>
      </c>
      <c r="M158" s="136" t="s">
        <v>46</v>
      </c>
      <c r="N158" s="137" t="s">
        <v>167</v>
      </c>
      <c r="O158" s="146" t="s">
        <v>771</v>
      </c>
      <c r="P158" s="123"/>
    </row>
    <row r="159" ht="22.5" customHeight="1">
      <c r="A159" s="100">
        <v>46248.0</v>
      </c>
      <c r="B159" s="101" t="s">
        <v>772</v>
      </c>
      <c r="C159" s="101" t="s">
        <v>156</v>
      </c>
      <c r="D159" s="102" t="s">
        <v>32</v>
      </c>
      <c r="E159" s="102" t="s">
        <v>34</v>
      </c>
      <c r="F159" s="101" t="s">
        <v>773</v>
      </c>
      <c r="G159" s="103" t="s">
        <v>774</v>
      </c>
      <c r="H159" s="23" t="str">
        <f>IF(C159="", "", IFERROR(VLOOKUP(C159, 'Tabla 2'!A:D, 2, FALSE), ""))</f>
        <v>Sustentabilidad Nacional</v>
      </c>
      <c r="I159" s="56">
        <f>IF(C159="", "", IFERROR(VLOOKUP(C159, 'Tabla 2'!A:D, 3, FALSE), ""))</f>
        <v>2</v>
      </c>
      <c r="J159" s="105">
        <f>IF(C159="", "", IFERROR(VLOOKUP(C159, 'Tabla 2'!A:D, 4, FALSE), ""))</f>
        <v>0</v>
      </c>
      <c r="K159" s="106" t="s">
        <v>44</v>
      </c>
      <c r="L159" s="107"/>
      <c r="M159" s="134" t="s">
        <v>46</v>
      </c>
      <c r="N159" s="135" t="s">
        <v>167</v>
      </c>
      <c r="O159" s="145" t="s">
        <v>49</v>
      </c>
      <c r="P159" s="111"/>
    </row>
    <row r="160" ht="22.5" customHeight="1">
      <c r="A160" s="112">
        <v>46252.0</v>
      </c>
      <c r="B160" s="113" t="s">
        <v>775</v>
      </c>
      <c r="C160" s="29" t="s">
        <v>31</v>
      </c>
      <c r="D160" s="114" t="s">
        <v>32</v>
      </c>
      <c r="E160" s="114" t="s">
        <v>34</v>
      </c>
      <c r="F160" s="113" t="s">
        <v>776</v>
      </c>
      <c r="G160" s="115" t="s">
        <v>777</v>
      </c>
      <c r="H160" s="29" t="str">
        <f>IF(C160="", "", IFERROR(VLOOKUP(C160, 'Tabla 2'!A:D, 2, FALSE), ""))</f>
        <v>Local BB</v>
      </c>
      <c r="I160" s="37">
        <f>IF(C160="", "", IFERROR(VLOOKUP(C160, 'Tabla 2'!A:D, 3, FALSE), ""))</f>
        <v>1</v>
      </c>
      <c r="J160" s="117">
        <f>IF(C160="", "", IFERROR(VLOOKUP(C160, 'Tabla 2'!A:D, 4, FALSE), ""))</f>
        <v>900000</v>
      </c>
      <c r="K160" s="118" t="s">
        <v>44</v>
      </c>
      <c r="L160" s="119"/>
      <c r="M160" s="120" t="s">
        <v>155</v>
      </c>
      <c r="N160" s="147"/>
      <c r="O160" s="122" t="s">
        <v>47</v>
      </c>
      <c r="P160" s="123"/>
    </row>
    <row r="161" ht="22.5" customHeight="1">
      <c r="A161" s="100">
        <v>46252.0</v>
      </c>
      <c r="B161" s="101" t="s">
        <v>778</v>
      </c>
      <c r="C161" s="23" t="s">
        <v>150</v>
      </c>
      <c r="D161" s="102" t="s">
        <v>32</v>
      </c>
      <c r="E161" s="102" t="s">
        <v>34</v>
      </c>
      <c r="F161" s="101" t="s">
        <v>779</v>
      </c>
      <c r="G161" s="103" t="s">
        <v>780</v>
      </c>
      <c r="H161" s="23" t="str">
        <f>IF(C161="", "", IFERROR(VLOOKUP(C161, 'Tabla 2'!A:D, 2, FALSE), ""))</f>
        <v>Negocio Nacional</v>
      </c>
      <c r="I161" s="56">
        <f>IF(C161="", "", IFERROR(VLOOKUP(C161, 'Tabla 2'!A:D, 3, FALSE), ""))</f>
        <v>2</v>
      </c>
      <c r="J161" s="105">
        <f>IF(C161="", "", IFERROR(VLOOKUP(C161, 'Tabla 2'!A:D, 4, FALSE), ""))</f>
        <v>0</v>
      </c>
      <c r="K161" s="106" t="s">
        <v>44</v>
      </c>
      <c r="L161" s="107"/>
      <c r="M161" s="134" t="s">
        <v>46</v>
      </c>
      <c r="N161" s="135" t="s">
        <v>167</v>
      </c>
      <c r="O161" s="145" t="s">
        <v>49</v>
      </c>
      <c r="P161" s="111"/>
    </row>
    <row r="162" ht="22.5" customHeight="1">
      <c r="A162" s="112">
        <v>46253.0</v>
      </c>
      <c r="B162" s="113" t="s">
        <v>781</v>
      </c>
      <c r="C162" s="113" t="s">
        <v>41</v>
      </c>
      <c r="D162" s="132" t="s">
        <v>140</v>
      </c>
      <c r="E162" s="139" t="s">
        <v>718</v>
      </c>
      <c r="F162" s="113" t="s">
        <v>782</v>
      </c>
      <c r="G162" s="115" t="s">
        <v>783</v>
      </c>
      <c r="H162" s="29" t="str">
        <f>IF(C162="", "", IFERROR(VLOOKUP(C162, 'Tabla 2'!A:D, 2, FALSE), ""))</f>
        <v>Negocio Nacional</v>
      </c>
      <c r="I162" s="37">
        <f>IF(C162="", "", IFERROR(VLOOKUP(C162, 'Tabla 2'!A:D, 3, FALSE), ""))</f>
        <v>1</v>
      </c>
      <c r="J162" s="117">
        <f>IF(C162="", "", IFERROR(VLOOKUP(C162, 'Tabla 2'!A:D, 4, FALSE), ""))</f>
        <v>1200000</v>
      </c>
      <c r="K162" s="118" t="s">
        <v>44</v>
      </c>
      <c r="L162" s="133" t="b">
        <v>1</v>
      </c>
      <c r="M162" s="120" t="s">
        <v>155</v>
      </c>
      <c r="N162" s="147"/>
      <c r="O162" s="122" t="s">
        <v>616</v>
      </c>
      <c r="P162" s="123"/>
    </row>
    <row r="163" ht="22.5" customHeight="1">
      <c r="A163" s="100">
        <v>46253.0</v>
      </c>
      <c r="B163" s="101" t="s">
        <v>784</v>
      </c>
      <c r="C163" s="101" t="s">
        <v>488</v>
      </c>
      <c r="D163" s="102" t="s">
        <v>32</v>
      </c>
      <c r="E163" s="102" t="s">
        <v>34</v>
      </c>
      <c r="F163" s="101" t="s">
        <v>785</v>
      </c>
      <c r="G163" s="103" t="s">
        <v>786</v>
      </c>
      <c r="H163" s="23" t="str">
        <f>IF(C163="", "", IFERROR(VLOOKUP(C163, 'Tabla 2'!A:D, 2, FALSE), ""))</f>
        <v>Local BB</v>
      </c>
      <c r="I163" s="56">
        <f>IF(C163="", "", IFERROR(VLOOKUP(C163, 'Tabla 2'!A:D, 3, FALSE), ""))</f>
        <v>3</v>
      </c>
      <c r="J163" s="105">
        <f>IF(C163="", "", IFERROR(VLOOKUP(C163, 'Tabla 2'!A:D, 4, FALSE), ""))</f>
        <v>0</v>
      </c>
      <c r="K163" s="106" t="s">
        <v>44</v>
      </c>
      <c r="L163" s="107"/>
      <c r="M163" s="108" t="s">
        <v>155</v>
      </c>
      <c r="N163" s="148"/>
      <c r="O163" s="145" t="s">
        <v>49</v>
      </c>
      <c r="P163" s="111"/>
    </row>
    <row r="164" ht="22.5" customHeight="1">
      <c r="A164" s="112">
        <v>46253.0</v>
      </c>
      <c r="B164" s="113" t="s">
        <v>784</v>
      </c>
      <c r="C164" s="113" t="s">
        <v>99</v>
      </c>
      <c r="D164" s="114" t="s">
        <v>32</v>
      </c>
      <c r="E164" s="114" t="s">
        <v>34</v>
      </c>
      <c r="F164" s="113" t="s">
        <v>785</v>
      </c>
      <c r="G164" s="115" t="s">
        <v>787</v>
      </c>
      <c r="H164" s="29" t="str">
        <f>IF(C164="", "", IFERROR(VLOOKUP(C164, 'Tabla 2'!A:D, 2, FALSE), ""))</f>
        <v>Local BB</v>
      </c>
      <c r="I164" s="37">
        <f>IF(C164="", "", IFERROR(VLOOKUP(C164, 'Tabla 2'!A:D, 3, FALSE), ""))</f>
        <v>2</v>
      </c>
      <c r="J164" s="117">
        <f>IF(C164="", "", IFERROR(VLOOKUP(C164, 'Tabla 2'!A:D, 4, FALSE), ""))</f>
        <v>0</v>
      </c>
      <c r="K164" s="118" t="s">
        <v>44</v>
      </c>
      <c r="L164" s="119"/>
      <c r="M164" s="120" t="s">
        <v>155</v>
      </c>
      <c r="N164" s="147"/>
      <c r="O164" s="144" t="s">
        <v>49</v>
      </c>
      <c r="P164" s="123"/>
    </row>
    <row r="165" ht="22.5" customHeight="1">
      <c r="A165" s="100">
        <v>46254.0</v>
      </c>
      <c r="B165" s="101" t="s">
        <v>788</v>
      </c>
      <c r="C165" s="23" t="s">
        <v>150</v>
      </c>
      <c r="D165" s="102" t="s">
        <v>32</v>
      </c>
      <c r="E165" s="102" t="s">
        <v>34</v>
      </c>
      <c r="F165" s="101" t="s">
        <v>789</v>
      </c>
      <c r="G165" s="103" t="s">
        <v>790</v>
      </c>
      <c r="H165" s="23" t="str">
        <f>IF(C165="", "", IFERROR(VLOOKUP(C165, 'Tabla 2'!A:D, 2, FALSE), ""))</f>
        <v>Negocio Nacional</v>
      </c>
      <c r="I165" s="56">
        <f>IF(C165="", "", IFERROR(VLOOKUP(C165, 'Tabla 2'!A:D, 3, FALSE), ""))</f>
        <v>2</v>
      </c>
      <c r="J165" s="105">
        <f>IF(C165="", "", IFERROR(VLOOKUP(C165, 'Tabla 2'!A:D, 4, FALSE), ""))</f>
        <v>0</v>
      </c>
      <c r="K165" s="106" t="s">
        <v>44</v>
      </c>
      <c r="L165" s="107"/>
      <c r="M165" s="108" t="s">
        <v>155</v>
      </c>
      <c r="N165" s="148"/>
      <c r="O165" s="145" t="s">
        <v>49</v>
      </c>
      <c r="P165" s="111"/>
    </row>
    <row r="166" ht="22.5" customHeight="1">
      <c r="A166" s="112">
        <v>46254.0</v>
      </c>
      <c r="B166" s="113" t="s">
        <v>791</v>
      </c>
      <c r="C166" s="113" t="s">
        <v>183</v>
      </c>
      <c r="D166" s="114" t="s">
        <v>32</v>
      </c>
      <c r="E166" s="114" t="s">
        <v>34</v>
      </c>
      <c r="F166" s="113" t="s">
        <v>792</v>
      </c>
      <c r="G166" s="115" t="s">
        <v>793</v>
      </c>
      <c r="H166" s="29" t="str">
        <f>IF(C166="", "", IFERROR(VLOOKUP(C166, 'Tabla 2'!A:D, 2, FALSE), ""))</f>
        <v>Generalista Nacional</v>
      </c>
      <c r="I166" s="37">
        <f>IF(C166="", "", IFERROR(VLOOKUP(C166, 'Tabla 2'!A:D, 3, FALSE), ""))</f>
        <v>3</v>
      </c>
      <c r="J166" s="117">
        <f>IF(C166="", "", IFERROR(VLOOKUP(C166, 'Tabla 2'!A:D, 4, FALSE), ""))</f>
        <v>0</v>
      </c>
      <c r="K166" s="118" t="s">
        <v>44</v>
      </c>
      <c r="L166" s="119"/>
      <c r="M166" s="136" t="s">
        <v>46</v>
      </c>
      <c r="N166" s="147"/>
      <c r="O166" s="144" t="s">
        <v>49</v>
      </c>
      <c r="P166" s="123"/>
    </row>
    <row r="167" ht="22.5" customHeight="1">
      <c r="A167" s="100">
        <v>46255.0</v>
      </c>
      <c r="B167" s="101" t="s">
        <v>794</v>
      </c>
      <c r="C167" s="101" t="s">
        <v>61</v>
      </c>
      <c r="D167" s="102" t="s">
        <v>32</v>
      </c>
      <c r="E167" s="102" t="s">
        <v>34</v>
      </c>
      <c r="F167" s="101" t="s">
        <v>795</v>
      </c>
      <c r="G167" s="103" t="s">
        <v>796</v>
      </c>
      <c r="H167" s="23" t="str">
        <f>IF(C167="", "", IFERROR(VLOOKUP(C167, 'Tabla 2'!A:D, 2, FALSE), ""))</f>
        <v>Negocio Nacional</v>
      </c>
      <c r="I167" s="56">
        <f>IF(C167="", "", IFERROR(VLOOKUP(C167, 'Tabla 2'!A:D, 3, FALSE), ""))</f>
        <v>1</v>
      </c>
      <c r="J167" s="105">
        <f>IF(C167="", "", IFERROR(VLOOKUP(C167, 'Tabla 2'!A:D, 4, FALSE), ""))</f>
        <v>500000</v>
      </c>
      <c r="K167" s="106" t="s">
        <v>44</v>
      </c>
      <c r="L167" s="107"/>
      <c r="M167" s="134" t="s">
        <v>46</v>
      </c>
      <c r="N167" s="148"/>
      <c r="O167" s="145" t="s">
        <v>49</v>
      </c>
      <c r="P167" s="111"/>
    </row>
    <row r="168" ht="22.5" customHeight="1">
      <c r="A168" s="112">
        <v>46255.0</v>
      </c>
      <c r="B168" s="113" t="s">
        <v>797</v>
      </c>
      <c r="C168" s="29" t="s">
        <v>50</v>
      </c>
      <c r="D168" s="132" t="s">
        <v>140</v>
      </c>
      <c r="E168" s="139" t="s">
        <v>718</v>
      </c>
      <c r="F168" s="113" t="s">
        <v>798</v>
      </c>
      <c r="G168" s="115" t="s">
        <v>799</v>
      </c>
      <c r="H168" s="29" t="str">
        <f>IF(C168="", "", IFERROR(VLOOKUP(C168, 'Tabla 2'!A:D, 2, FALSE), ""))</f>
        <v>Negocio Nacional</v>
      </c>
      <c r="I168" s="37">
        <f>IF(C168="", "", IFERROR(VLOOKUP(C168, 'Tabla 2'!A:D, 3, FALSE), ""))</f>
        <v>1</v>
      </c>
      <c r="J168" s="117">
        <f>IF(C168="", "", IFERROR(VLOOKUP(C168, 'Tabla 2'!A:D, 4, FALSE), ""))</f>
        <v>1200000</v>
      </c>
      <c r="K168" s="118" t="s">
        <v>44</v>
      </c>
      <c r="L168" s="133" t="b">
        <v>1</v>
      </c>
      <c r="M168" s="120" t="s">
        <v>155</v>
      </c>
      <c r="N168" s="120" t="s">
        <v>184</v>
      </c>
      <c r="O168" s="122" t="s">
        <v>616</v>
      </c>
      <c r="P168" s="123"/>
    </row>
    <row r="169" ht="22.5" customHeight="1">
      <c r="A169" s="100">
        <v>46257.0</v>
      </c>
      <c r="B169" s="101" t="s">
        <v>800</v>
      </c>
      <c r="C169" s="23" t="s">
        <v>31</v>
      </c>
      <c r="D169" s="102" t="s">
        <v>32</v>
      </c>
      <c r="E169" s="102" t="s">
        <v>34</v>
      </c>
      <c r="F169" s="101" t="s">
        <v>801</v>
      </c>
      <c r="G169" s="103" t="s">
        <v>802</v>
      </c>
      <c r="H169" s="23" t="str">
        <f>IF(C169="", "", IFERROR(VLOOKUP(C169, 'Tabla 2'!A:D, 2, FALSE), ""))</f>
        <v>Local BB</v>
      </c>
      <c r="I169" s="56">
        <f>IF(C169="", "", IFERROR(VLOOKUP(C169, 'Tabla 2'!A:D, 3, FALSE), ""))</f>
        <v>1</v>
      </c>
      <c r="J169" s="105">
        <f>IF(C169="", "", IFERROR(VLOOKUP(C169, 'Tabla 2'!A:D, 4, FALSE), ""))</f>
        <v>900000</v>
      </c>
      <c r="K169" s="106" t="s">
        <v>44</v>
      </c>
      <c r="L169" s="149" t="b">
        <v>0</v>
      </c>
      <c r="M169" s="150" t="s">
        <v>128</v>
      </c>
      <c r="N169" s="148"/>
      <c r="O169" s="145" t="s">
        <v>49</v>
      </c>
      <c r="P169" s="111"/>
    </row>
    <row r="170" ht="22.5" customHeight="1">
      <c r="A170" s="112">
        <v>46257.0</v>
      </c>
      <c r="B170" s="113" t="s">
        <v>803</v>
      </c>
      <c r="C170" s="29" t="s">
        <v>31</v>
      </c>
      <c r="D170" s="114" t="s">
        <v>32</v>
      </c>
      <c r="E170" s="114" t="s">
        <v>34</v>
      </c>
      <c r="F170" s="113" t="s">
        <v>804</v>
      </c>
      <c r="G170" s="115" t="s">
        <v>805</v>
      </c>
      <c r="H170" s="29" t="str">
        <f>IF(C170="", "", IFERROR(VLOOKUP(C170, 'Tabla 2'!A:D, 2, FALSE), ""))</f>
        <v>Local BB</v>
      </c>
      <c r="I170" s="37">
        <f>IF(C170="", "", IFERROR(VLOOKUP(C170, 'Tabla 2'!A:D, 3, FALSE), ""))</f>
        <v>1</v>
      </c>
      <c r="J170" s="117">
        <f>IF(C170="", "", IFERROR(VLOOKUP(C170, 'Tabla 2'!A:D, 4, FALSE), ""))</f>
        <v>900000</v>
      </c>
      <c r="K170" s="118" t="s">
        <v>44</v>
      </c>
      <c r="L170" s="133" t="b">
        <v>0</v>
      </c>
      <c r="M170" s="127" t="s">
        <v>128</v>
      </c>
      <c r="N170" s="147"/>
      <c r="O170" s="144" t="s">
        <v>49</v>
      </c>
      <c r="P170" s="123"/>
    </row>
    <row r="171" ht="22.5" customHeight="1">
      <c r="A171" s="100">
        <v>46257.0</v>
      </c>
      <c r="B171" s="101" t="s">
        <v>806</v>
      </c>
      <c r="C171" s="101" t="s">
        <v>31</v>
      </c>
      <c r="D171" s="102" t="s">
        <v>32</v>
      </c>
      <c r="E171" s="102" t="s">
        <v>34</v>
      </c>
      <c r="F171" s="101" t="s">
        <v>807</v>
      </c>
      <c r="G171" s="103" t="s">
        <v>808</v>
      </c>
      <c r="H171" s="23" t="s">
        <v>88</v>
      </c>
      <c r="I171" s="56">
        <f>IF(C171="", "", IFERROR(VLOOKUP(C171, 'Tabla 2'!A:D, 3, FALSE), ""))</f>
        <v>1</v>
      </c>
      <c r="J171" s="105">
        <f>IF(C171="", "", IFERROR(VLOOKUP(C171, 'Tabla 2'!A:D, 4, FALSE), ""))</f>
        <v>900000</v>
      </c>
      <c r="K171" s="106" t="s">
        <v>44</v>
      </c>
      <c r="L171" s="107"/>
      <c r="M171" s="102" t="s">
        <v>155</v>
      </c>
      <c r="N171" s="148"/>
      <c r="O171" s="145" t="s">
        <v>49</v>
      </c>
      <c r="P171" s="111"/>
    </row>
    <row r="172" ht="22.5" customHeight="1">
      <c r="A172" s="112">
        <v>46257.0</v>
      </c>
      <c r="B172" s="113" t="s">
        <v>809</v>
      </c>
      <c r="C172" s="113" t="s">
        <v>31</v>
      </c>
      <c r="D172" s="132" t="s">
        <v>140</v>
      </c>
      <c r="E172" s="114" t="s">
        <v>34</v>
      </c>
      <c r="F172" s="113" t="s">
        <v>810</v>
      </c>
      <c r="G172" s="115" t="s">
        <v>811</v>
      </c>
      <c r="H172" s="29" t="str">
        <f>IF(C172="", "", IFERROR(VLOOKUP(C172, 'Tabla 2'!A:D, 2, FALSE), ""))</f>
        <v>Local BB</v>
      </c>
      <c r="I172" s="37">
        <f>IF(C172="", "", IFERROR(VLOOKUP(C172, 'Tabla 2'!A:D, 3, FALSE), ""))</f>
        <v>1</v>
      </c>
      <c r="J172" s="117">
        <f>IF(C172="", "", IFERROR(VLOOKUP(C172, 'Tabla 2'!A:D, 4, FALSE), ""))</f>
        <v>900000</v>
      </c>
      <c r="K172" s="151" t="s">
        <v>44</v>
      </c>
      <c r="L172" s="133" t="b">
        <v>1</v>
      </c>
      <c r="M172" s="139" t="s">
        <v>46</v>
      </c>
      <c r="N172" s="147"/>
      <c r="O172" s="29" t="s">
        <v>43</v>
      </c>
      <c r="P172" s="123"/>
    </row>
    <row r="173" ht="22.5" customHeight="1">
      <c r="A173" s="100">
        <v>46257.0</v>
      </c>
      <c r="B173" s="101" t="s">
        <v>803</v>
      </c>
      <c r="C173" s="101" t="s">
        <v>31</v>
      </c>
      <c r="D173" s="102" t="s">
        <v>32</v>
      </c>
      <c r="E173" s="102" t="s">
        <v>34</v>
      </c>
      <c r="F173" s="101" t="s">
        <v>804</v>
      </c>
      <c r="G173" s="103" t="s">
        <v>812</v>
      </c>
      <c r="H173" s="23" t="str">
        <f>IF(C173="", "", IFERROR(VLOOKUP(C173, 'Tabla 2'!A:D, 2, FALSE), ""))</f>
        <v>Local BB</v>
      </c>
      <c r="I173" s="56">
        <f>IF(C173="", "", IFERROR(VLOOKUP(C173, 'Tabla 2'!A:D, 3, FALSE), ""))</f>
        <v>1</v>
      </c>
      <c r="J173" s="105">
        <f>IF(C173="", "", IFERROR(VLOOKUP(C173, 'Tabla 2'!A:D, 4, FALSE), ""))</f>
        <v>900000</v>
      </c>
      <c r="K173" s="152" t="s">
        <v>44</v>
      </c>
      <c r="L173" s="107"/>
      <c r="M173" s="129" t="s">
        <v>128</v>
      </c>
      <c r="N173" s="148"/>
      <c r="O173" s="145" t="s">
        <v>49</v>
      </c>
      <c r="P173" s="111"/>
    </row>
    <row r="174" ht="22.5" customHeight="1">
      <c r="A174" s="112">
        <v>46257.0</v>
      </c>
      <c r="B174" s="113" t="s">
        <v>800</v>
      </c>
      <c r="C174" s="113" t="s">
        <v>31</v>
      </c>
      <c r="D174" s="114" t="s">
        <v>32</v>
      </c>
      <c r="E174" s="114" t="s">
        <v>34</v>
      </c>
      <c r="F174" s="113" t="s">
        <v>801</v>
      </c>
      <c r="G174" s="115" t="s">
        <v>813</v>
      </c>
      <c r="H174" s="29" t="str">
        <f>IF(C174="", "", IFERROR(VLOOKUP(C174, 'Tabla 2'!A:D, 2, FALSE), ""))</f>
        <v>Local BB</v>
      </c>
      <c r="I174" s="37">
        <f>IF(C174="", "", IFERROR(VLOOKUP(C174, 'Tabla 2'!A:D, 3, FALSE), ""))</f>
        <v>1</v>
      </c>
      <c r="J174" s="117">
        <f>IF(C174="", "", IFERROR(VLOOKUP(C174, 'Tabla 2'!A:D, 4, FALSE), ""))</f>
        <v>900000</v>
      </c>
      <c r="K174" s="151" t="s">
        <v>44</v>
      </c>
      <c r="L174" s="119"/>
      <c r="M174" s="132" t="s">
        <v>128</v>
      </c>
      <c r="N174" s="147"/>
      <c r="O174" s="144" t="s">
        <v>49</v>
      </c>
      <c r="P174" s="123"/>
    </row>
    <row r="175" ht="22.5" customHeight="1">
      <c r="A175" s="100">
        <v>46257.0</v>
      </c>
      <c r="B175" s="101" t="s">
        <v>803</v>
      </c>
      <c r="C175" s="101" t="s">
        <v>344</v>
      </c>
      <c r="D175" s="102" t="s">
        <v>32</v>
      </c>
      <c r="E175" s="102" t="s">
        <v>34</v>
      </c>
      <c r="F175" s="101" t="s">
        <v>814</v>
      </c>
      <c r="G175" s="103" t="s">
        <v>815</v>
      </c>
      <c r="H175" s="23" t="str">
        <f>IF(C175="", "", IFERROR(VLOOKUP(C175, 'Tabla 2'!A:D, 2, FALSE), ""))</f>
        <v>Generalista Nacional</v>
      </c>
      <c r="I175" s="56">
        <f>IF(C175="", "", IFERROR(VLOOKUP(C175, 'Tabla 2'!A:D, 3, FALSE), ""))</f>
        <v>3</v>
      </c>
      <c r="J175" s="105">
        <f>IF(C175="", "", IFERROR(VLOOKUP(C175, 'Tabla 2'!A:D, 4, FALSE), ""))</f>
        <v>0</v>
      </c>
      <c r="K175" s="152" t="s">
        <v>44</v>
      </c>
      <c r="L175" s="141"/>
      <c r="M175" s="129" t="s">
        <v>128</v>
      </c>
      <c r="N175" s="148"/>
      <c r="O175" s="145" t="s">
        <v>49</v>
      </c>
      <c r="P175" s="111"/>
    </row>
    <row r="176" ht="22.5" customHeight="1">
      <c r="A176" s="112">
        <v>46257.0</v>
      </c>
      <c r="B176" s="113" t="s">
        <v>803</v>
      </c>
      <c r="C176" s="113" t="s">
        <v>816</v>
      </c>
      <c r="D176" s="114" t="s">
        <v>32</v>
      </c>
      <c r="E176" s="114" t="s">
        <v>34</v>
      </c>
      <c r="F176" s="113" t="s">
        <v>817</v>
      </c>
      <c r="G176" s="115" t="s">
        <v>818</v>
      </c>
      <c r="H176" s="29" t="s">
        <v>36</v>
      </c>
      <c r="I176" s="37">
        <v>3.0</v>
      </c>
      <c r="J176" s="153" t="str">
        <f>IF(C176="", "", IFERROR(VLOOKUP(C176, 'Tabla 2'!A:D, 4, FALSE), ""))</f>
        <v/>
      </c>
      <c r="K176" s="151" t="s">
        <v>44</v>
      </c>
      <c r="L176" s="119"/>
      <c r="M176" s="132" t="s">
        <v>128</v>
      </c>
      <c r="N176" s="147"/>
      <c r="O176" s="144" t="s">
        <v>49</v>
      </c>
      <c r="P176" s="123"/>
    </row>
    <row r="177" ht="22.5" customHeight="1">
      <c r="A177" s="100">
        <v>46258.0</v>
      </c>
      <c r="B177" s="101" t="s">
        <v>819</v>
      </c>
      <c r="C177" s="101" t="s">
        <v>820</v>
      </c>
      <c r="D177" s="102" t="s">
        <v>32</v>
      </c>
      <c r="E177" s="102" t="s">
        <v>34</v>
      </c>
      <c r="F177" s="101" t="s">
        <v>821</v>
      </c>
      <c r="G177" s="103" t="s">
        <v>822</v>
      </c>
      <c r="H177" s="23" t="s">
        <v>36</v>
      </c>
      <c r="I177" s="56">
        <v>3.0</v>
      </c>
      <c r="J177" s="154" t="str">
        <f>IF(C177="", "", IFERROR(VLOOKUP(C177, 'Tabla 2'!A:D, 4, FALSE), ""))</f>
        <v/>
      </c>
      <c r="K177" s="152" t="s">
        <v>44</v>
      </c>
      <c r="L177" s="107"/>
      <c r="M177" s="129" t="s">
        <v>128</v>
      </c>
      <c r="N177" s="148"/>
      <c r="O177" s="145" t="s">
        <v>49</v>
      </c>
      <c r="P177" s="111"/>
    </row>
    <row r="178" ht="22.5" customHeight="1">
      <c r="A178" s="112">
        <v>46258.0</v>
      </c>
      <c r="B178" s="113" t="s">
        <v>823</v>
      </c>
      <c r="C178" s="113" t="s">
        <v>824</v>
      </c>
      <c r="D178" s="114" t="s">
        <v>32</v>
      </c>
      <c r="E178" s="114" t="s">
        <v>34</v>
      </c>
      <c r="F178" s="113" t="s">
        <v>825</v>
      </c>
      <c r="G178" s="115" t="s">
        <v>826</v>
      </c>
      <c r="H178" s="29" t="s">
        <v>36</v>
      </c>
      <c r="I178" s="37">
        <v>1.0</v>
      </c>
      <c r="J178" s="117" t="str">
        <f>IF(C178="", "", IFERROR(VLOOKUP(C178, 'Tabla 2'!A:D, 4, FALSE), ""))</f>
        <v/>
      </c>
      <c r="K178" s="151" t="s">
        <v>44</v>
      </c>
      <c r="L178" s="119"/>
      <c r="M178" s="114" t="s">
        <v>155</v>
      </c>
      <c r="N178" s="147"/>
      <c r="O178" s="29" t="s">
        <v>827</v>
      </c>
      <c r="P178" s="123"/>
    </row>
    <row r="179" ht="22.5" customHeight="1">
      <c r="A179" s="100">
        <v>46258.0</v>
      </c>
      <c r="B179" s="101" t="s">
        <v>828</v>
      </c>
      <c r="C179" s="101" t="s">
        <v>183</v>
      </c>
      <c r="D179" s="129" t="s">
        <v>140</v>
      </c>
      <c r="E179" s="102" t="s">
        <v>34</v>
      </c>
      <c r="F179" s="101" t="s">
        <v>829</v>
      </c>
      <c r="G179" s="103" t="s">
        <v>830</v>
      </c>
      <c r="H179" s="23" t="str">
        <f>IF(C179="", "", IFERROR(VLOOKUP(C179, 'Tabla 2'!A:D, 2, FALSE), ""))</f>
        <v>Generalista Nacional</v>
      </c>
      <c r="I179" s="56">
        <f>IF(C179="", "", IFERROR(VLOOKUP(C179, 'Tabla 2'!A:D, 3, FALSE), ""))</f>
        <v>3</v>
      </c>
      <c r="J179" s="105">
        <f>IF(C179="", "", IFERROR(VLOOKUP(C179, 'Tabla 2'!A:D, 4, FALSE), ""))</f>
        <v>0</v>
      </c>
      <c r="K179" s="152" t="s">
        <v>44</v>
      </c>
      <c r="L179" s="131" t="b">
        <v>1</v>
      </c>
      <c r="M179" s="130" t="s">
        <v>46</v>
      </c>
      <c r="N179" s="155" t="s">
        <v>167</v>
      </c>
      <c r="O179" s="145" t="s">
        <v>49</v>
      </c>
      <c r="P179" s="111"/>
    </row>
    <row r="180" ht="22.5" customHeight="1">
      <c r="A180" s="112">
        <v>46258.0</v>
      </c>
      <c r="B180" s="113" t="s">
        <v>828</v>
      </c>
      <c r="C180" s="156" t="s">
        <v>56</v>
      </c>
      <c r="D180" s="132" t="s">
        <v>140</v>
      </c>
      <c r="E180" s="114" t="s">
        <v>34</v>
      </c>
      <c r="F180" s="113" t="s">
        <v>829</v>
      </c>
      <c r="G180" s="115" t="s">
        <v>831</v>
      </c>
      <c r="H180" s="29" t="str">
        <f>IF(C180="", "", IFERROR(VLOOKUP(C180, 'Tabla 2'!A:D, 2, FALSE), ""))</f>
        <v>Local BB</v>
      </c>
      <c r="I180" s="37">
        <f>IF(C180="", "", IFERROR(VLOOKUP(C180, 'Tabla 2'!A:D, 3, FALSE), ""))</f>
        <v>1</v>
      </c>
      <c r="J180" s="117">
        <f>IF(C180="", "", IFERROR(VLOOKUP(C180, 'Tabla 2'!A:D, 4, FALSE), ""))</f>
        <v>500000</v>
      </c>
      <c r="K180" s="151" t="s">
        <v>44</v>
      </c>
      <c r="L180" s="133" t="b">
        <v>1</v>
      </c>
      <c r="M180" s="139" t="s">
        <v>46</v>
      </c>
      <c r="N180" s="157" t="s">
        <v>167</v>
      </c>
      <c r="O180" s="144" t="s">
        <v>49</v>
      </c>
      <c r="P180" s="123"/>
    </row>
    <row r="181" ht="22.5" customHeight="1">
      <c r="A181" s="100">
        <v>46259.0</v>
      </c>
      <c r="B181" s="101" t="s">
        <v>832</v>
      </c>
      <c r="C181" s="101" t="s">
        <v>833</v>
      </c>
      <c r="D181" s="129" t="s">
        <v>140</v>
      </c>
      <c r="E181" s="102" t="s">
        <v>34</v>
      </c>
      <c r="F181" s="101" t="s">
        <v>834</v>
      </c>
      <c r="G181" s="103" t="s">
        <v>835</v>
      </c>
      <c r="H181" s="23" t="str">
        <f>IF(C181="", "", IFERROR(VLOOKUP(C181, 'Tabla 2'!A:D, 2, FALSE), ""))</f>
        <v>Local BB</v>
      </c>
      <c r="I181" s="56">
        <f>IF(C181="", "", IFERROR(VLOOKUP(C181, 'Tabla 2'!A:D, 3, FALSE), ""))</f>
        <v>2</v>
      </c>
      <c r="J181" s="105">
        <f>IF(C181="", "", IFERROR(VLOOKUP(C181, 'Tabla 2'!A:D, 4, FALSE), ""))</f>
        <v>0</v>
      </c>
      <c r="K181" s="152" t="s">
        <v>44</v>
      </c>
      <c r="L181" s="131" t="b">
        <v>1</v>
      </c>
      <c r="M181" s="130" t="s">
        <v>46</v>
      </c>
      <c r="N181" s="148"/>
      <c r="O181" s="145" t="s">
        <v>49</v>
      </c>
      <c r="P181" s="111"/>
    </row>
    <row r="182" ht="22.5" customHeight="1">
      <c r="A182" s="112">
        <v>46259.0</v>
      </c>
      <c r="B182" s="113" t="s">
        <v>828</v>
      </c>
      <c r="C182" s="113" t="s">
        <v>120</v>
      </c>
      <c r="D182" s="132" t="s">
        <v>140</v>
      </c>
      <c r="E182" s="114" t="s">
        <v>34</v>
      </c>
      <c r="F182" s="113" t="s">
        <v>829</v>
      </c>
      <c r="G182" s="115" t="s">
        <v>836</v>
      </c>
      <c r="H182" s="29" t="str">
        <f>IF(C182="", "", IFERROR(VLOOKUP(C182, 'Tabla 2'!A:D, 2, FALSE), ""))</f>
        <v>Local BB</v>
      </c>
      <c r="I182" s="37">
        <f>IF(C182="", "", IFERROR(VLOOKUP(C182, 'Tabla 2'!A:D, 3, FALSE), ""))</f>
        <v>3</v>
      </c>
      <c r="J182" s="117">
        <f>IF(C182="", "", IFERROR(VLOOKUP(C182, 'Tabla 2'!A:D, 4, FALSE), ""))</f>
        <v>0</v>
      </c>
      <c r="K182" s="151" t="s">
        <v>44</v>
      </c>
      <c r="L182" s="133" t="b">
        <v>1</v>
      </c>
      <c r="M182" s="139" t="s">
        <v>46</v>
      </c>
      <c r="N182" s="157" t="s">
        <v>167</v>
      </c>
      <c r="O182" s="144" t="s">
        <v>49</v>
      </c>
      <c r="P182" s="123"/>
    </row>
    <row r="183" ht="22.5" customHeight="1">
      <c r="A183" s="100">
        <v>46259.0</v>
      </c>
      <c r="B183" s="101" t="s">
        <v>837</v>
      </c>
      <c r="C183" s="101" t="s">
        <v>838</v>
      </c>
      <c r="D183" s="102" t="s">
        <v>32</v>
      </c>
      <c r="E183" s="102" t="s">
        <v>34</v>
      </c>
      <c r="F183" s="101" t="s">
        <v>839</v>
      </c>
      <c r="G183" s="103" t="s">
        <v>840</v>
      </c>
      <c r="H183" s="23" t="str">
        <f>IF(C183="", "", IFERROR(VLOOKUP(C183, 'Tabla 2'!A:D, 2, FALSE), ""))</f>
        <v>Local BB</v>
      </c>
      <c r="I183" s="56">
        <f>IF(C183="", "", IFERROR(VLOOKUP(C183, 'Tabla 2'!A:D, 3, FALSE), ""))</f>
        <v>3</v>
      </c>
      <c r="J183" s="105">
        <f>IF(C183="", "", IFERROR(VLOOKUP(C183, 'Tabla 2'!A:D, 4, FALSE), ""))</f>
        <v>0</v>
      </c>
      <c r="K183" s="152" t="s">
        <v>44</v>
      </c>
      <c r="L183" s="107"/>
      <c r="M183" s="130" t="s">
        <v>46</v>
      </c>
      <c r="N183" s="148"/>
      <c r="O183" s="145" t="s">
        <v>49</v>
      </c>
      <c r="P183" s="111"/>
    </row>
    <row r="184" ht="22.5" customHeight="1">
      <c r="A184" s="112">
        <v>46259.0</v>
      </c>
      <c r="B184" s="113" t="s">
        <v>841</v>
      </c>
      <c r="C184" s="113" t="s">
        <v>70</v>
      </c>
      <c r="D184" s="132" t="s">
        <v>140</v>
      </c>
      <c r="E184" s="114" t="s">
        <v>34</v>
      </c>
      <c r="F184" s="113" t="s">
        <v>842</v>
      </c>
      <c r="G184" s="115" t="s">
        <v>843</v>
      </c>
      <c r="H184" s="29" t="str">
        <f>IF(C184="", "", IFERROR(VLOOKUP(C184, 'Tabla 2'!A:D, 2, FALSE), ""))</f>
        <v>Local BB</v>
      </c>
      <c r="I184" s="37">
        <f>IF(C184="", "", IFERROR(VLOOKUP(C184, 'Tabla 2'!A:D, 3, FALSE), ""))</f>
        <v>1</v>
      </c>
      <c r="J184" s="117">
        <f>IF(C184="", "", IFERROR(VLOOKUP(C184, 'Tabla 2'!A:D, 4, FALSE), ""))</f>
        <v>800000</v>
      </c>
      <c r="K184" s="151" t="s">
        <v>44</v>
      </c>
      <c r="L184" s="133" t="b">
        <v>1</v>
      </c>
      <c r="M184" s="139" t="s">
        <v>46</v>
      </c>
      <c r="N184" s="147"/>
      <c r="O184" s="144" t="s">
        <v>49</v>
      </c>
      <c r="P184" s="123"/>
    </row>
    <row r="185" ht="22.5" customHeight="1">
      <c r="A185" s="100">
        <v>46259.0</v>
      </c>
      <c r="B185" s="101" t="s">
        <v>844</v>
      </c>
      <c r="C185" s="101" t="s">
        <v>102</v>
      </c>
      <c r="D185" s="129" t="s">
        <v>140</v>
      </c>
      <c r="E185" s="102" t="s">
        <v>34</v>
      </c>
      <c r="F185" s="101" t="s">
        <v>845</v>
      </c>
      <c r="G185" s="103" t="s">
        <v>846</v>
      </c>
      <c r="H185" s="23" t="str">
        <f>IF(C185="", "", IFERROR(VLOOKUP(C185, 'Tabla 2'!A:D, 2, FALSE), ""))</f>
        <v>Local BB</v>
      </c>
      <c r="I185" s="56">
        <f>IF(C185="", "", IFERROR(VLOOKUP(C185, 'Tabla 2'!A:D, 3, FALSE), ""))</f>
        <v>1</v>
      </c>
      <c r="J185" s="105">
        <f>IF(C185="", "", IFERROR(VLOOKUP(C185, 'Tabla 2'!A:D, 4, FALSE), ""))</f>
        <v>800000</v>
      </c>
      <c r="K185" s="152" t="s">
        <v>44</v>
      </c>
      <c r="L185" s="131" t="b">
        <v>1</v>
      </c>
      <c r="M185" s="130" t="s">
        <v>46</v>
      </c>
      <c r="N185" s="148"/>
      <c r="O185" s="145" t="s">
        <v>49</v>
      </c>
      <c r="P185" s="111"/>
    </row>
    <row r="186" ht="22.5" customHeight="1">
      <c r="A186" s="112">
        <v>46258.0</v>
      </c>
      <c r="B186" s="113" t="s">
        <v>847</v>
      </c>
      <c r="C186" s="113" t="s">
        <v>147</v>
      </c>
      <c r="D186" s="114" t="s">
        <v>32</v>
      </c>
      <c r="E186" s="114" t="s">
        <v>34</v>
      </c>
      <c r="F186" s="113" t="s">
        <v>848</v>
      </c>
      <c r="G186" s="115" t="s">
        <v>849</v>
      </c>
      <c r="H186" s="29" t="str">
        <f>IF(C186="", "", IFERROR(VLOOKUP(C186, 'Tabla 2'!A:D, 2, FALSE), ""))</f>
        <v>Generalista Nacional</v>
      </c>
      <c r="I186" s="37">
        <f>IF(C186="", "", IFERROR(VLOOKUP(C186, 'Tabla 2'!A:D, 3, FALSE), ""))</f>
        <v>1</v>
      </c>
      <c r="J186" s="117">
        <f>IF(C186="", "", IFERROR(VLOOKUP(C186, 'Tabla 2'!A:D, 4, FALSE), ""))</f>
        <v>800000</v>
      </c>
      <c r="K186" s="151" t="s">
        <v>44</v>
      </c>
      <c r="L186" s="119"/>
      <c r="M186" s="132" t="s">
        <v>128</v>
      </c>
      <c r="N186" s="147"/>
      <c r="O186" s="29" t="s">
        <v>47</v>
      </c>
      <c r="P186" s="123"/>
    </row>
    <row r="187" ht="22.5" customHeight="1">
      <c r="A187" s="100">
        <v>46259.0</v>
      </c>
      <c r="B187" s="101" t="s">
        <v>850</v>
      </c>
      <c r="C187" s="101" t="s">
        <v>851</v>
      </c>
      <c r="D187" s="102" t="s">
        <v>32</v>
      </c>
      <c r="E187" s="102" t="s">
        <v>34</v>
      </c>
      <c r="F187" s="101" t="s">
        <v>852</v>
      </c>
      <c r="G187" s="103" t="s">
        <v>853</v>
      </c>
      <c r="H187" s="23" t="s">
        <v>36</v>
      </c>
      <c r="I187" s="56">
        <v>3.0</v>
      </c>
      <c r="J187" s="154" t="str">
        <f>IF(C187="", "", IFERROR(VLOOKUP(C187, 'Tabla 2'!A:D, 4, FALSE), ""))</f>
        <v/>
      </c>
      <c r="K187" s="152" t="s">
        <v>44</v>
      </c>
      <c r="L187" s="141"/>
      <c r="M187" s="102" t="s">
        <v>155</v>
      </c>
      <c r="N187" s="148"/>
      <c r="O187" s="145" t="s">
        <v>49</v>
      </c>
      <c r="P187" s="111"/>
    </row>
    <row r="188" ht="22.5" customHeight="1">
      <c r="A188" s="112">
        <v>46259.0</v>
      </c>
      <c r="B188" s="113" t="s">
        <v>854</v>
      </c>
      <c r="C188" s="113" t="s">
        <v>411</v>
      </c>
      <c r="D188" s="132" t="s">
        <v>140</v>
      </c>
      <c r="E188" s="114" t="s">
        <v>34</v>
      </c>
      <c r="F188" s="113" t="s">
        <v>855</v>
      </c>
      <c r="G188" s="115" t="s">
        <v>856</v>
      </c>
      <c r="H188" s="29" t="str">
        <f>IF(C188="", "", IFERROR(VLOOKUP(C188, 'Tabla 2'!A:D, 2, FALSE), ""))</f>
        <v>Local BB</v>
      </c>
      <c r="I188" s="37">
        <f>IF(C188="", "", IFERROR(VLOOKUP(C188, 'Tabla 2'!A:D, 3, FALSE), ""))</f>
        <v>3</v>
      </c>
      <c r="J188" s="117">
        <f>IF(C188="", "", IFERROR(VLOOKUP(C188, 'Tabla 2'!A:D, 4, FALSE), ""))</f>
        <v>0</v>
      </c>
      <c r="K188" s="151" t="s">
        <v>44</v>
      </c>
      <c r="L188" s="133" t="b">
        <v>1</v>
      </c>
      <c r="M188" s="139" t="s">
        <v>46</v>
      </c>
      <c r="N188" s="147"/>
      <c r="O188" s="144" t="s">
        <v>49</v>
      </c>
      <c r="P188" s="123"/>
    </row>
    <row r="189" ht="22.5" customHeight="1">
      <c r="A189" s="100">
        <v>46260.0</v>
      </c>
      <c r="B189" s="101" t="s">
        <v>857</v>
      </c>
      <c r="C189" s="101" t="s">
        <v>108</v>
      </c>
      <c r="D189" s="129" t="s">
        <v>140</v>
      </c>
      <c r="E189" s="102" t="s">
        <v>34</v>
      </c>
      <c r="F189" s="101" t="s">
        <v>858</v>
      </c>
      <c r="G189" s="103" t="s">
        <v>859</v>
      </c>
      <c r="H189" s="23" t="str">
        <f>IF(C189="", "", IFERROR(VLOOKUP(C189, 'Tabla 2'!A:D, 2, FALSE), ""))</f>
        <v>Local BB</v>
      </c>
      <c r="I189" s="56">
        <f>IF(C189="", "", IFERROR(VLOOKUP(C189, 'Tabla 2'!A:D, 3, FALSE), ""))</f>
        <v>1</v>
      </c>
      <c r="J189" s="105">
        <f>IF(C189="", "", IFERROR(VLOOKUP(C189, 'Tabla 2'!A:D, 4, FALSE), ""))</f>
        <v>1000000</v>
      </c>
      <c r="K189" s="152" t="s">
        <v>44</v>
      </c>
      <c r="L189" s="131" t="b">
        <v>1</v>
      </c>
      <c r="M189" s="130" t="s">
        <v>46</v>
      </c>
      <c r="N189" s="148"/>
      <c r="O189" s="145" t="s">
        <v>49</v>
      </c>
      <c r="P189" s="111"/>
    </row>
    <row r="190" ht="22.5" customHeight="1">
      <c r="A190" s="112">
        <v>46260.0</v>
      </c>
      <c r="B190" s="113" t="s">
        <v>860</v>
      </c>
      <c r="C190" s="156" t="s">
        <v>56</v>
      </c>
      <c r="D190" s="132" t="s">
        <v>140</v>
      </c>
      <c r="E190" s="114" t="s">
        <v>34</v>
      </c>
      <c r="F190" s="113" t="s">
        <v>858</v>
      </c>
      <c r="G190" s="115" t="s">
        <v>861</v>
      </c>
      <c r="H190" s="29" t="str">
        <f>IF(C190="", "", IFERROR(VLOOKUP(C190, 'Tabla 2'!A:D, 2, FALSE), ""))</f>
        <v>Local BB</v>
      </c>
      <c r="I190" s="37">
        <f>IF(C190="", "", IFERROR(VLOOKUP(C190, 'Tabla 2'!A:D, 3, FALSE), ""))</f>
        <v>1</v>
      </c>
      <c r="J190" s="117">
        <f>IF(C190="", "", IFERROR(VLOOKUP(C190, 'Tabla 2'!A:D, 4, FALSE), ""))</f>
        <v>500000</v>
      </c>
      <c r="K190" s="151" t="s">
        <v>44</v>
      </c>
      <c r="L190" s="133" t="b">
        <v>1</v>
      </c>
      <c r="M190" s="139" t="s">
        <v>46</v>
      </c>
      <c r="N190" s="147"/>
      <c r="O190" s="144" t="s">
        <v>49</v>
      </c>
      <c r="P190" s="123"/>
    </row>
    <row r="191" ht="22.5" customHeight="1">
      <c r="A191" s="100">
        <v>46260.0</v>
      </c>
      <c r="B191" s="101" t="s">
        <v>860</v>
      </c>
      <c r="C191" s="101" t="s">
        <v>411</v>
      </c>
      <c r="D191" s="129" t="s">
        <v>140</v>
      </c>
      <c r="E191" s="102" t="s">
        <v>34</v>
      </c>
      <c r="F191" s="101" t="s">
        <v>858</v>
      </c>
      <c r="G191" s="103" t="s">
        <v>862</v>
      </c>
      <c r="H191" s="23" t="str">
        <f>IF(C191="", "", IFERROR(VLOOKUP(C191, 'Tabla 2'!A:D, 2, FALSE), ""))</f>
        <v>Local BB</v>
      </c>
      <c r="I191" s="56">
        <f>IF(C191="", "", IFERROR(VLOOKUP(C191, 'Tabla 2'!A:D, 3, FALSE), ""))</f>
        <v>3</v>
      </c>
      <c r="J191" s="105">
        <f>IF(C191="", "", IFERROR(VLOOKUP(C191, 'Tabla 2'!A:D, 4, FALSE), ""))</f>
        <v>0</v>
      </c>
      <c r="K191" s="152" t="s">
        <v>44</v>
      </c>
      <c r="L191" s="131" t="b">
        <v>1</v>
      </c>
      <c r="M191" s="130" t="s">
        <v>46</v>
      </c>
      <c r="N191" s="148"/>
      <c r="O191" s="145" t="s">
        <v>49</v>
      </c>
      <c r="P191" s="111"/>
    </row>
    <row r="192" ht="22.5" customHeight="1">
      <c r="A192" s="112">
        <v>46260.0</v>
      </c>
      <c r="B192" s="113" t="s">
        <v>863</v>
      </c>
      <c r="C192" s="113" t="s">
        <v>833</v>
      </c>
      <c r="D192" s="132" t="s">
        <v>140</v>
      </c>
      <c r="E192" s="114" t="s">
        <v>34</v>
      </c>
      <c r="F192" s="113" t="s">
        <v>864</v>
      </c>
      <c r="G192" s="115" t="s">
        <v>865</v>
      </c>
      <c r="H192" s="29" t="str">
        <f>IF(C192="", "", IFERROR(VLOOKUP(C192, 'Tabla 2'!A:D, 2, FALSE), ""))</f>
        <v>Local BB</v>
      </c>
      <c r="I192" s="37">
        <f>IF(C192="", "", IFERROR(VLOOKUP(C192, 'Tabla 2'!A:D, 3, FALSE), ""))</f>
        <v>2</v>
      </c>
      <c r="J192" s="117">
        <f>IF(C192="", "", IFERROR(VLOOKUP(C192, 'Tabla 2'!A:D, 4, FALSE), ""))</f>
        <v>0</v>
      </c>
      <c r="K192" s="151" t="s">
        <v>44</v>
      </c>
      <c r="L192" s="133" t="b">
        <v>1</v>
      </c>
      <c r="M192" s="139" t="s">
        <v>46</v>
      </c>
      <c r="N192" s="147"/>
      <c r="O192" s="144" t="s">
        <v>49</v>
      </c>
      <c r="P192" s="123"/>
    </row>
    <row r="193" ht="22.5" customHeight="1">
      <c r="A193" s="100">
        <v>46260.0</v>
      </c>
      <c r="B193" s="101" t="s">
        <v>741</v>
      </c>
      <c r="C193" s="101" t="s">
        <v>68</v>
      </c>
      <c r="D193" s="129" t="s">
        <v>140</v>
      </c>
      <c r="E193" s="102" t="s">
        <v>34</v>
      </c>
      <c r="F193" s="101" t="s">
        <v>866</v>
      </c>
      <c r="G193" s="103" t="s">
        <v>867</v>
      </c>
      <c r="H193" s="23" t="str">
        <f>IF(C193="", "", IFERROR(VLOOKUP(C193, 'Tabla 2'!A:D, 2, FALSE), ""))</f>
        <v>Negocio Nacional</v>
      </c>
      <c r="I193" s="56">
        <f>IF(C193="", "", IFERROR(VLOOKUP(C193, 'Tabla 2'!A:D, 3, FALSE), ""))</f>
        <v>1</v>
      </c>
      <c r="J193" s="105">
        <f>IF(C193="", "", IFERROR(VLOOKUP(C193, 'Tabla 2'!A:D, 4, FALSE), ""))</f>
        <v>1800000</v>
      </c>
      <c r="K193" s="152" t="s">
        <v>44</v>
      </c>
      <c r="L193" s="131" t="b">
        <v>1</v>
      </c>
      <c r="M193" s="102" t="s">
        <v>155</v>
      </c>
      <c r="N193" s="148"/>
      <c r="O193" s="23" t="s">
        <v>40</v>
      </c>
      <c r="P193" s="111"/>
    </row>
    <row r="194" ht="22.5" customHeight="1">
      <c r="A194" s="112">
        <v>46260.0</v>
      </c>
      <c r="B194" s="113" t="s">
        <v>868</v>
      </c>
      <c r="C194" s="113" t="s">
        <v>31</v>
      </c>
      <c r="D194" s="132" t="s">
        <v>140</v>
      </c>
      <c r="E194" s="114" t="s">
        <v>34</v>
      </c>
      <c r="F194" s="113" t="s">
        <v>858</v>
      </c>
      <c r="G194" s="115" t="s">
        <v>869</v>
      </c>
      <c r="H194" s="29" t="str">
        <f>IF(C194="", "", IFERROR(VLOOKUP(C194, 'Tabla 2'!A:D, 2, FALSE), ""))</f>
        <v>Local BB</v>
      </c>
      <c r="I194" s="37">
        <f>IF(C194="", "", IFERROR(VLOOKUP(C194, 'Tabla 2'!A:D, 3, FALSE), ""))</f>
        <v>1</v>
      </c>
      <c r="J194" s="117">
        <f>IF(C194="", "", IFERROR(VLOOKUP(C194, 'Tabla 2'!A:D, 4, FALSE), ""))</f>
        <v>900000</v>
      </c>
      <c r="K194" s="151" t="s">
        <v>44</v>
      </c>
      <c r="L194" s="133" t="b">
        <v>1</v>
      </c>
      <c r="M194" s="139" t="s">
        <v>46</v>
      </c>
      <c r="N194" s="147"/>
      <c r="O194" s="144" t="s">
        <v>49</v>
      </c>
      <c r="P194" s="123"/>
    </row>
    <row r="195" ht="22.5" customHeight="1">
      <c r="A195" s="100">
        <v>46261.0</v>
      </c>
      <c r="B195" s="101" t="s">
        <v>870</v>
      </c>
      <c r="C195" s="101" t="s">
        <v>183</v>
      </c>
      <c r="D195" s="102" t="s">
        <v>32</v>
      </c>
      <c r="E195" s="102" t="s">
        <v>34</v>
      </c>
      <c r="F195" s="101" t="s">
        <v>871</v>
      </c>
      <c r="G195" s="103" t="s">
        <v>872</v>
      </c>
      <c r="H195" s="23" t="str">
        <f>IF(C195="", "", IFERROR(VLOOKUP(C195, 'Tabla 2'!A:D, 2, FALSE), ""))</f>
        <v>Generalista Nacional</v>
      </c>
      <c r="I195" s="56">
        <f>IF(C195="", "", IFERROR(VLOOKUP(C195, 'Tabla 2'!A:D, 3, FALSE), ""))</f>
        <v>3</v>
      </c>
      <c r="J195" s="105">
        <f>IF(C195="", "", IFERROR(VLOOKUP(C195, 'Tabla 2'!A:D, 4, FALSE), ""))</f>
        <v>0</v>
      </c>
      <c r="K195" s="152" t="s">
        <v>44</v>
      </c>
      <c r="L195" s="149" t="b">
        <v>1</v>
      </c>
      <c r="M195" s="130" t="s">
        <v>46</v>
      </c>
      <c r="N195" s="148"/>
      <c r="O195" s="145" t="s">
        <v>49</v>
      </c>
      <c r="P195" s="111"/>
    </row>
    <row r="196" ht="22.5" customHeight="1">
      <c r="A196" s="112">
        <v>46260.0</v>
      </c>
      <c r="B196" s="113" t="s">
        <v>857</v>
      </c>
      <c r="C196" s="113" t="s">
        <v>873</v>
      </c>
      <c r="D196" s="132" t="s">
        <v>140</v>
      </c>
      <c r="E196" s="114" t="s">
        <v>34</v>
      </c>
      <c r="F196" s="113" t="s">
        <v>858</v>
      </c>
      <c r="G196" s="115" t="s">
        <v>874</v>
      </c>
      <c r="H196" s="29" t="s">
        <v>36</v>
      </c>
      <c r="I196" s="37">
        <v>3.0</v>
      </c>
      <c r="J196" s="153" t="str">
        <f>IF(C196="", "", IFERROR(VLOOKUP(C196, 'Tabla 2'!A:D, 4, FALSE), ""))</f>
        <v/>
      </c>
      <c r="K196" s="151" t="s">
        <v>44</v>
      </c>
      <c r="L196" s="133" t="b">
        <v>1</v>
      </c>
      <c r="M196" s="139" t="s">
        <v>46</v>
      </c>
      <c r="N196" s="147"/>
      <c r="O196" s="144" t="s">
        <v>49</v>
      </c>
      <c r="P196" s="123"/>
    </row>
    <row r="197" ht="22.5" customHeight="1">
      <c r="A197" s="100">
        <v>46260.0</v>
      </c>
      <c r="B197" s="101" t="s">
        <v>875</v>
      </c>
      <c r="C197" s="23" t="s">
        <v>75</v>
      </c>
      <c r="D197" s="102" t="s">
        <v>32</v>
      </c>
      <c r="E197" s="102" t="s">
        <v>34</v>
      </c>
      <c r="F197" s="101" t="s">
        <v>876</v>
      </c>
      <c r="G197" s="103" t="s">
        <v>877</v>
      </c>
      <c r="H197" s="23" t="str">
        <f>IF(C197="", "", IFERROR(VLOOKUP(C197, 'Tabla 2'!A:D, 2, FALSE), ""))</f>
        <v>Sustentabilidad Nacional</v>
      </c>
      <c r="I197" s="56">
        <f>IF(C197="", "", IFERROR(VLOOKUP(C197, 'Tabla 2'!A:D, 3, FALSE), ""))</f>
        <v>1</v>
      </c>
      <c r="J197" s="105">
        <f>IF(C197="", "", IFERROR(VLOOKUP(C197, 'Tabla 2'!A:D, 4, FALSE), ""))</f>
        <v>600000</v>
      </c>
      <c r="K197" s="152" t="s">
        <v>44</v>
      </c>
      <c r="L197" s="131" t="b">
        <v>1</v>
      </c>
      <c r="M197" s="130" t="s">
        <v>46</v>
      </c>
      <c r="N197" s="148"/>
      <c r="O197" s="145" t="s">
        <v>49</v>
      </c>
      <c r="P197" s="111"/>
    </row>
    <row r="198" ht="22.5" customHeight="1">
      <c r="A198" s="112">
        <v>46261.0</v>
      </c>
      <c r="B198" s="113" t="s">
        <v>878</v>
      </c>
      <c r="C198" s="113" t="s">
        <v>31</v>
      </c>
      <c r="D198" s="114" t="s">
        <v>32</v>
      </c>
      <c r="E198" s="114" t="s">
        <v>34</v>
      </c>
      <c r="F198" s="113" t="s">
        <v>879</v>
      </c>
      <c r="G198" s="115" t="s">
        <v>880</v>
      </c>
      <c r="H198" s="29" t="str">
        <f>IF(C198="", "", IFERROR(VLOOKUP(C198, 'Tabla 2'!A:D, 2, FALSE), ""))</f>
        <v>Local BB</v>
      </c>
      <c r="I198" s="37">
        <f>IF(C198="", "", IFERROR(VLOOKUP(C198, 'Tabla 2'!A:D, 3, FALSE), ""))</f>
        <v>1</v>
      </c>
      <c r="J198" s="117">
        <f>IF(C198="", "", IFERROR(VLOOKUP(C198, 'Tabla 2'!A:D, 4, FALSE), ""))</f>
        <v>900000</v>
      </c>
      <c r="K198" s="151" t="s">
        <v>44</v>
      </c>
      <c r="L198" s="119"/>
      <c r="M198" s="114" t="s">
        <v>155</v>
      </c>
      <c r="N198" s="147"/>
      <c r="O198" s="144" t="s">
        <v>49</v>
      </c>
      <c r="P198" s="123"/>
    </row>
    <row r="199" ht="22.5" customHeight="1">
      <c r="A199" s="100">
        <v>46261.0</v>
      </c>
      <c r="B199" s="101" t="s">
        <v>881</v>
      </c>
      <c r="C199" s="158">
        <v>8000.0</v>
      </c>
      <c r="D199" s="102" t="s">
        <v>32</v>
      </c>
      <c r="E199" s="102" t="s">
        <v>34</v>
      </c>
      <c r="F199" s="101" t="s">
        <v>882</v>
      </c>
      <c r="G199" s="103" t="s">
        <v>883</v>
      </c>
      <c r="H199" s="23" t="str">
        <f>IF(C199="", "", IFERROR(VLOOKUP(C199, 'Tabla 2'!A:D, 2, FALSE), ""))</f>
        <v/>
      </c>
      <c r="I199" s="56">
        <v>3.0</v>
      </c>
      <c r="J199" s="105" t="str">
        <f>IF(C199="", "", IFERROR(VLOOKUP(C199, 'Tabla 2'!A:D, 4, FALSE), ""))</f>
        <v/>
      </c>
      <c r="K199" s="152" t="s">
        <v>44</v>
      </c>
      <c r="L199" s="107"/>
      <c r="M199" s="102" t="s">
        <v>155</v>
      </c>
      <c r="N199" s="148"/>
      <c r="O199" s="145" t="s">
        <v>49</v>
      </c>
      <c r="P199" s="111"/>
    </row>
    <row r="200" ht="22.5" customHeight="1">
      <c r="A200" s="112">
        <v>46261.0</v>
      </c>
      <c r="B200" s="113" t="s">
        <v>884</v>
      </c>
      <c r="C200" s="113" t="s">
        <v>70</v>
      </c>
      <c r="D200" s="132" t="s">
        <v>140</v>
      </c>
      <c r="E200" s="114" t="s">
        <v>34</v>
      </c>
      <c r="F200" s="113" t="s">
        <v>858</v>
      </c>
      <c r="G200" s="115" t="s">
        <v>885</v>
      </c>
      <c r="H200" s="29" t="str">
        <f>IF(C200="", "", IFERROR(VLOOKUP(C200, 'Tabla 2'!A:D, 2, FALSE), ""))</f>
        <v>Local BB</v>
      </c>
      <c r="I200" s="37">
        <f>IF(C200="", "", IFERROR(VLOOKUP(C200, 'Tabla 2'!A:D, 3, FALSE), ""))</f>
        <v>1</v>
      </c>
      <c r="J200" s="117">
        <f>IF(C200="", "", IFERROR(VLOOKUP(C200, 'Tabla 2'!A:D, 4, FALSE), ""))</f>
        <v>800000</v>
      </c>
      <c r="K200" s="151" t="s">
        <v>44</v>
      </c>
      <c r="L200" s="133" t="b">
        <v>1</v>
      </c>
      <c r="M200" s="139" t="s">
        <v>46</v>
      </c>
      <c r="N200" s="147"/>
      <c r="O200" s="144" t="s">
        <v>49</v>
      </c>
      <c r="P200" s="123"/>
    </row>
    <row r="201" ht="22.5" customHeight="1">
      <c r="A201" s="100">
        <v>46261.0</v>
      </c>
      <c r="B201" s="101" t="s">
        <v>886</v>
      </c>
      <c r="C201" s="101" t="s">
        <v>887</v>
      </c>
      <c r="D201" s="102" t="s">
        <v>32</v>
      </c>
      <c r="E201" s="102" t="s">
        <v>34</v>
      </c>
      <c r="F201" s="101" t="s">
        <v>888</v>
      </c>
      <c r="G201" s="103" t="s">
        <v>889</v>
      </c>
      <c r="H201" s="23" t="s">
        <v>36</v>
      </c>
      <c r="I201" s="56">
        <v>3.0</v>
      </c>
      <c r="J201" s="154" t="str">
        <f>IF(C201="", "", IFERROR(VLOOKUP(C201, 'Tabla 2'!A:D, 4, FALSE), ""))</f>
        <v/>
      </c>
      <c r="K201" s="152" t="s">
        <v>44</v>
      </c>
      <c r="L201" s="107"/>
      <c r="M201" s="102" t="s">
        <v>155</v>
      </c>
      <c r="N201" s="148"/>
      <c r="O201" s="145" t="s">
        <v>49</v>
      </c>
      <c r="P201" s="111"/>
    </row>
    <row r="202" ht="22.5" customHeight="1">
      <c r="A202" s="112">
        <v>46261.0</v>
      </c>
      <c r="B202" s="113" t="s">
        <v>878</v>
      </c>
      <c r="C202" s="113" t="s">
        <v>890</v>
      </c>
      <c r="D202" s="114" t="s">
        <v>32</v>
      </c>
      <c r="E202" s="114" t="s">
        <v>34</v>
      </c>
      <c r="F202" s="113" t="s">
        <v>891</v>
      </c>
      <c r="G202" s="115" t="s">
        <v>892</v>
      </c>
      <c r="H202" s="29" t="s">
        <v>36</v>
      </c>
      <c r="I202" s="37">
        <v>1.0</v>
      </c>
      <c r="J202" s="117">
        <v>800000.0</v>
      </c>
      <c r="K202" s="151" t="s">
        <v>44</v>
      </c>
      <c r="L202" s="119"/>
      <c r="M202" s="114" t="s">
        <v>155</v>
      </c>
      <c r="N202" s="147"/>
      <c r="O202" s="144" t="s">
        <v>49</v>
      </c>
      <c r="P202" s="123"/>
    </row>
    <row r="203" ht="22.5" customHeight="1">
      <c r="A203" s="100">
        <v>46261.0</v>
      </c>
      <c r="B203" s="101" t="s">
        <v>860</v>
      </c>
      <c r="C203" s="101" t="s">
        <v>120</v>
      </c>
      <c r="D203" s="129" t="s">
        <v>140</v>
      </c>
      <c r="E203" s="102" t="s">
        <v>34</v>
      </c>
      <c r="F203" s="101" t="s">
        <v>858</v>
      </c>
      <c r="G203" s="103" t="s">
        <v>893</v>
      </c>
      <c r="H203" s="23" t="str">
        <f>IF(C203="", "", IFERROR(VLOOKUP(C203, 'Tabla 2'!A:D, 2, FALSE), ""))</f>
        <v>Local BB</v>
      </c>
      <c r="I203" s="56">
        <f>IF(C203="", "", IFERROR(VLOOKUP(C203, 'Tabla 2'!A:D, 3, FALSE), ""))</f>
        <v>3</v>
      </c>
      <c r="J203" s="105">
        <f>IF(C203="", "", IFERROR(VLOOKUP(C203, 'Tabla 2'!A:D, 4, FALSE), ""))</f>
        <v>0</v>
      </c>
      <c r="K203" s="152" t="s">
        <v>44</v>
      </c>
      <c r="L203" s="131" t="b">
        <v>1</v>
      </c>
      <c r="M203" s="130" t="s">
        <v>46</v>
      </c>
      <c r="N203" s="148"/>
      <c r="O203" s="145" t="s">
        <v>49</v>
      </c>
      <c r="P203" s="111"/>
    </row>
    <row r="204" ht="22.5" customHeight="1">
      <c r="A204" s="112">
        <v>46261.0</v>
      </c>
      <c r="B204" s="113" t="s">
        <v>894</v>
      </c>
      <c r="C204" s="113" t="s">
        <v>895</v>
      </c>
      <c r="D204" s="114" t="s">
        <v>32</v>
      </c>
      <c r="E204" s="114" t="s">
        <v>34</v>
      </c>
      <c r="F204" s="113" t="s">
        <v>896</v>
      </c>
      <c r="G204" s="115" t="s">
        <v>897</v>
      </c>
      <c r="H204" s="29" t="s">
        <v>36</v>
      </c>
      <c r="I204" s="37">
        <v>2.0</v>
      </c>
      <c r="J204" s="153" t="str">
        <f>IF(C204="", "", IFERROR(VLOOKUP(C204, 'Tabla 2'!A:D, 4, FALSE), ""))</f>
        <v/>
      </c>
      <c r="K204" s="151" t="s">
        <v>44</v>
      </c>
      <c r="L204" s="119"/>
      <c r="M204" s="114" t="s">
        <v>155</v>
      </c>
      <c r="N204" s="147"/>
      <c r="O204" s="144" t="s">
        <v>49</v>
      </c>
      <c r="P204" s="123"/>
    </row>
    <row r="205" ht="22.5" customHeight="1">
      <c r="A205" s="100">
        <v>46261.0</v>
      </c>
      <c r="B205" s="101" t="s">
        <v>898</v>
      </c>
      <c r="C205" s="101" t="s">
        <v>899</v>
      </c>
      <c r="D205" s="102" t="s">
        <v>32</v>
      </c>
      <c r="E205" s="102" t="s">
        <v>34</v>
      </c>
      <c r="F205" s="101" t="s">
        <v>900</v>
      </c>
      <c r="G205" s="103" t="s">
        <v>901</v>
      </c>
      <c r="H205" s="23" t="s">
        <v>36</v>
      </c>
      <c r="I205" s="56">
        <v>3.0</v>
      </c>
      <c r="J205" s="154" t="str">
        <f>IF(C205="", "", IFERROR(VLOOKUP(C205, 'Tabla 2'!A:D, 4, FALSE), ""))</f>
        <v/>
      </c>
      <c r="K205" s="152" t="s">
        <v>44</v>
      </c>
      <c r="L205" s="107"/>
      <c r="M205" s="102" t="s">
        <v>155</v>
      </c>
      <c r="N205" s="148"/>
      <c r="O205" s="145" t="s">
        <v>49</v>
      </c>
      <c r="P205" s="111"/>
    </row>
    <row r="206" ht="22.5" customHeight="1">
      <c r="A206" s="112">
        <v>46261.0</v>
      </c>
      <c r="B206" s="113" t="s">
        <v>902</v>
      </c>
      <c r="C206" s="113" t="s">
        <v>903</v>
      </c>
      <c r="D206" s="114" t="s">
        <v>32</v>
      </c>
      <c r="E206" s="114" t="s">
        <v>34</v>
      </c>
      <c r="F206" s="113" t="s">
        <v>904</v>
      </c>
      <c r="G206" s="115" t="s">
        <v>905</v>
      </c>
      <c r="H206" s="29" t="s">
        <v>36</v>
      </c>
      <c r="I206" s="37">
        <v>3.0</v>
      </c>
      <c r="J206" s="153" t="str">
        <f>IF(C206="", "", IFERROR(VLOOKUP(C206, 'Tabla 2'!A:D, 4, FALSE), ""))</f>
        <v/>
      </c>
      <c r="K206" s="151" t="s">
        <v>44</v>
      </c>
      <c r="L206" s="119"/>
      <c r="M206" s="114" t="s">
        <v>155</v>
      </c>
      <c r="N206" s="147"/>
      <c r="O206" s="144" t="s">
        <v>755</v>
      </c>
      <c r="P206" s="123"/>
    </row>
    <row r="207" ht="22.5" customHeight="1">
      <c r="A207" s="100">
        <v>46261.0</v>
      </c>
      <c r="B207" s="101" t="s">
        <v>906</v>
      </c>
      <c r="C207" s="101" t="s">
        <v>907</v>
      </c>
      <c r="D207" s="102" t="s">
        <v>32</v>
      </c>
      <c r="E207" s="102" t="s">
        <v>34</v>
      </c>
      <c r="F207" s="101" t="s">
        <v>908</v>
      </c>
      <c r="G207" s="103" t="s">
        <v>909</v>
      </c>
      <c r="H207" s="23" t="s">
        <v>36</v>
      </c>
      <c r="I207" s="56">
        <v>3.0</v>
      </c>
      <c r="J207" s="154"/>
      <c r="K207" s="152" t="s">
        <v>44</v>
      </c>
      <c r="L207" s="149" t="b">
        <v>1</v>
      </c>
      <c r="M207" s="102" t="s">
        <v>155</v>
      </c>
      <c r="N207" s="148"/>
      <c r="O207" s="23" t="s">
        <v>767</v>
      </c>
      <c r="P207" s="111"/>
    </row>
    <row r="208" ht="22.5" customHeight="1">
      <c r="A208" s="112">
        <v>46261.0</v>
      </c>
      <c r="B208" s="113" t="s">
        <v>878</v>
      </c>
      <c r="C208" s="113" t="s">
        <v>41</v>
      </c>
      <c r="D208" s="114" t="s">
        <v>32</v>
      </c>
      <c r="E208" s="114" t="s">
        <v>34</v>
      </c>
      <c r="F208" s="113" t="s">
        <v>910</v>
      </c>
      <c r="G208" s="115" t="s">
        <v>911</v>
      </c>
      <c r="H208" s="29" t="str">
        <f>IF(C208="", "", IFERROR(VLOOKUP(C208, 'Tabla 2'!A:D, 2, FALSE), ""))</f>
        <v>Negocio Nacional</v>
      </c>
      <c r="I208" s="37">
        <f>IF(C208="", "", IFERROR(VLOOKUP(C208, 'Tabla 2'!A:D, 3, FALSE), ""))</f>
        <v>1</v>
      </c>
      <c r="J208" s="117">
        <f>IF(C208="", "", IFERROR(VLOOKUP(C208, 'Tabla 2'!A:D, 4, FALSE), ""))</f>
        <v>1200000</v>
      </c>
      <c r="K208" s="151" t="s">
        <v>44</v>
      </c>
      <c r="L208" s="119"/>
      <c r="M208" s="114" t="s">
        <v>155</v>
      </c>
      <c r="N208" s="147"/>
      <c r="O208" s="144" t="s">
        <v>755</v>
      </c>
      <c r="P208" s="123"/>
    </row>
    <row r="209" ht="22.5" customHeight="1">
      <c r="A209" s="100">
        <v>46261.0</v>
      </c>
      <c r="B209" s="101" t="s">
        <v>912</v>
      </c>
      <c r="C209" s="101" t="s">
        <v>913</v>
      </c>
      <c r="D209" s="102" t="s">
        <v>32</v>
      </c>
      <c r="E209" s="102" t="s">
        <v>34</v>
      </c>
      <c r="F209" s="101" t="s">
        <v>914</v>
      </c>
      <c r="G209" s="103" t="s">
        <v>915</v>
      </c>
      <c r="H209" s="23" t="s">
        <v>36</v>
      </c>
      <c r="I209" s="56">
        <v>3.0</v>
      </c>
      <c r="J209" s="154" t="str">
        <f>IF(C209="", "", IFERROR(VLOOKUP(C209, 'Tabla 2'!A:D, 4, FALSE), ""))</f>
        <v/>
      </c>
      <c r="K209" s="152" t="s">
        <v>44</v>
      </c>
      <c r="L209" s="141"/>
      <c r="M209" s="102" t="s">
        <v>155</v>
      </c>
      <c r="N209" s="148"/>
      <c r="O209" s="145" t="s">
        <v>755</v>
      </c>
      <c r="P209" s="111"/>
    </row>
    <row r="210" ht="22.5" customHeight="1">
      <c r="A210" s="112">
        <v>46261.0</v>
      </c>
      <c r="B210" s="113" t="s">
        <v>916</v>
      </c>
      <c r="C210" s="113" t="s">
        <v>917</v>
      </c>
      <c r="D210" s="114" t="s">
        <v>32</v>
      </c>
      <c r="E210" s="114" t="s">
        <v>34</v>
      </c>
      <c r="F210" s="113" t="s">
        <v>918</v>
      </c>
      <c r="G210" s="115" t="s">
        <v>919</v>
      </c>
      <c r="H210" s="29" t="s">
        <v>36</v>
      </c>
      <c r="I210" s="37">
        <v>3.0</v>
      </c>
      <c r="J210" s="153" t="str">
        <f>IF(C210="", "", IFERROR(VLOOKUP(C210, 'Tabla 2'!A:D, 4, FALSE), ""))</f>
        <v/>
      </c>
      <c r="K210" s="151" t="s">
        <v>44</v>
      </c>
      <c r="L210" s="159"/>
      <c r="M210" s="114" t="s">
        <v>155</v>
      </c>
      <c r="N210" s="147"/>
      <c r="O210" s="144" t="s">
        <v>755</v>
      </c>
      <c r="P210" s="123"/>
    </row>
    <row r="211" ht="22.5" customHeight="1">
      <c r="A211" s="100">
        <v>46261.0</v>
      </c>
      <c r="B211" s="101" t="s">
        <v>920</v>
      </c>
      <c r="C211" s="101" t="s">
        <v>921</v>
      </c>
      <c r="D211" s="102" t="s">
        <v>32</v>
      </c>
      <c r="E211" s="102" t="s">
        <v>34</v>
      </c>
      <c r="F211" s="101" t="s">
        <v>922</v>
      </c>
      <c r="G211" s="103" t="s">
        <v>923</v>
      </c>
      <c r="H211" s="23" t="s">
        <v>36</v>
      </c>
      <c r="I211" s="56">
        <v>3.0</v>
      </c>
      <c r="J211" s="154" t="str">
        <f>IF(C211="", "", IFERROR(VLOOKUP(C211, 'Tabla 2'!A:D, 4, FALSE), ""))</f>
        <v/>
      </c>
      <c r="K211" s="152" t="s">
        <v>44</v>
      </c>
      <c r="L211" s="141"/>
      <c r="M211" s="102" t="s">
        <v>155</v>
      </c>
      <c r="N211" s="148"/>
      <c r="O211" s="145" t="s">
        <v>755</v>
      </c>
      <c r="P211" s="111"/>
    </row>
    <row r="212" ht="22.5" customHeight="1">
      <c r="A212" s="112">
        <v>46261.0</v>
      </c>
      <c r="B212" s="113" t="s">
        <v>924</v>
      </c>
      <c r="C212" s="113" t="s">
        <v>61</v>
      </c>
      <c r="D212" s="132" t="s">
        <v>140</v>
      </c>
      <c r="E212" s="114" t="s">
        <v>34</v>
      </c>
      <c r="F212" s="113" t="s">
        <v>866</v>
      </c>
      <c r="G212" s="115" t="s">
        <v>925</v>
      </c>
      <c r="H212" s="29" t="str">
        <f>IF(C212="", "", IFERROR(VLOOKUP(C212, 'Tabla 2'!A:D, 2, FALSE), ""))</f>
        <v>Negocio Nacional</v>
      </c>
      <c r="I212" s="37">
        <f>IF(C212="", "", IFERROR(VLOOKUP(C212, 'Tabla 2'!A:D, 3, FALSE), ""))</f>
        <v>1</v>
      </c>
      <c r="J212" s="117">
        <f>IF(C212="", "", IFERROR(VLOOKUP(C212, 'Tabla 2'!A:D, 4, FALSE), ""))</f>
        <v>500000</v>
      </c>
      <c r="K212" s="151" t="s">
        <v>44</v>
      </c>
      <c r="L212" s="133" t="b">
        <v>1</v>
      </c>
      <c r="M212" s="139" t="s">
        <v>46</v>
      </c>
      <c r="N212" s="147"/>
      <c r="O212" s="29" t="s">
        <v>40</v>
      </c>
      <c r="P212" s="123"/>
    </row>
    <row r="213" ht="22.5" customHeight="1">
      <c r="A213" s="100">
        <v>46261.0</v>
      </c>
      <c r="B213" s="101" t="s">
        <v>926</v>
      </c>
      <c r="C213" s="101" t="s">
        <v>927</v>
      </c>
      <c r="D213" s="102" t="s">
        <v>32</v>
      </c>
      <c r="E213" s="102" t="s">
        <v>34</v>
      </c>
      <c r="F213" s="101" t="s">
        <v>928</v>
      </c>
      <c r="G213" s="103" t="s">
        <v>929</v>
      </c>
      <c r="H213" s="23" t="s">
        <v>36</v>
      </c>
      <c r="I213" s="56">
        <v>1.0</v>
      </c>
      <c r="J213" s="105">
        <v>500000.0</v>
      </c>
      <c r="K213" s="152" t="s">
        <v>44</v>
      </c>
      <c r="L213" s="141"/>
      <c r="M213" s="102" t="s">
        <v>155</v>
      </c>
      <c r="N213" s="148"/>
      <c r="O213" s="145" t="s">
        <v>755</v>
      </c>
      <c r="P213" s="111"/>
    </row>
    <row r="214" ht="22.5" customHeight="1">
      <c r="A214" s="112">
        <v>46261.0</v>
      </c>
      <c r="B214" s="113" t="s">
        <v>930</v>
      </c>
      <c r="C214" s="113" t="s">
        <v>415</v>
      </c>
      <c r="D214" s="114" t="s">
        <v>32</v>
      </c>
      <c r="E214" s="114" t="s">
        <v>34</v>
      </c>
      <c r="F214" s="113" t="s">
        <v>931</v>
      </c>
      <c r="G214" s="115" t="s">
        <v>932</v>
      </c>
      <c r="H214" s="29" t="str">
        <f>IF(C214="", "", IFERROR(VLOOKUP(C214, 'Tabla 2'!A:D, 2, FALSE), ""))</f>
        <v>Generalista Nacional</v>
      </c>
      <c r="I214" s="37">
        <f>IF(C214="", "", IFERROR(VLOOKUP(C214, 'Tabla 2'!A:D, 3, FALSE), ""))</f>
        <v>3</v>
      </c>
      <c r="J214" s="117">
        <f>IF(C214="", "", IFERROR(VLOOKUP(C214, 'Tabla 2'!A:D, 4, FALSE), ""))</f>
        <v>0</v>
      </c>
      <c r="K214" s="151" t="s">
        <v>44</v>
      </c>
      <c r="L214" s="119"/>
      <c r="M214" s="114" t="s">
        <v>155</v>
      </c>
      <c r="N214" s="147"/>
      <c r="O214" s="144" t="s">
        <v>755</v>
      </c>
      <c r="P214" s="123"/>
    </row>
    <row r="215" ht="22.5" customHeight="1">
      <c r="A215" s="100">
        <v>46262.0</v>
      </c>
      <c r="B215" s="101" t="s">
        <v>933</v>
      </c>
      <c r="C215" s="101" t="s">
        <v>529</v>
      </c>
      <c r="D215" s="102" t="s">
        <v>32</v>
      </c>
      <c r="E215" s="102" t="s">
        <v>34</v>
      </c>
      <c r="F215" s="101" t="s">
        <v>879</v>
      </c>
      <c r="G215" s="103" t="s">
        <v>934</v>
      </c>
      <c r="H215" s="23" t="s">
        <v>36</v>
      </c>
      <c r="I215" s="56">
        <v>3.0</v>
      </c>
      <c r="J215" s="154">
        <f>IF(C215="", "", IFERROR(VLOOKUP(C215, 'Tabla 2'!A:D, 4, FALSE), ""))</f>
        <v>0</v>
      </c>
      <c r="K215" s="152" t="s">
        <v>44</v>
      </c>
      <c r="L215" s="141"/>
      <c r="M215" s="102" t="s">
        <v>155</v>
      </c>
      <c r="N215" s="148"/>
      <c r="O215" s="145" t="s">
        <v>755</v>
      </c>
      <c r="P215" s="111"/>
    </row>
    <row r="216" ht="22.5" customHeight="1">
      <c r="A216" s="112">
        <v>46261.0</v>
      </c>
      <c r="B216" s="113" t="s">
        <v>878</v>
      </c>
      <c r="C216" s="113" t="s">
        <v>344</v>
      </c>
      <c r="D216" s="114" t="s">
        <v>32</v>
      </c>
      <c r="E216" s="114" t="s">
        <v>34</v>
      </c>
      <c r="F216" s="113" t="s">
        <v>879</v>
      </c>
      <c r="G216" s="115" t="s">
        <v>935</v>
      </c>
      <c r="H216" s="29" t="str">
        <f>IF(C216="", "", IFERROR(VLOOKUP(C216, 'Tabla 2'!A:D, 2, FALSE), ""))</f>
        <v>Generalista Nacional</v>
      </c>
      <c r="I216" s="37">
        <f>IF(C216="", "", IFERROR(VLOOKUP(C216, 'Tabla 2'!A:D, 3, FALSE), ""))</f>
        <v>3</v>
      </c>
      <c r="J216" s="117">
        <f>IF(C216="", "", IFERROR(VLOOKUP(C216, 'Tabla 2'!A:D, 4, FALSE), ""))</f>
        <v>0</v>
      </c>
      <c r="K216" s="151" t="s">
        <v>44</v>
      </c>
      <c r="L216" s="119"/>
      <c r="M216" s="114" t="s">
        <v>155</v>
      </c>
      <c r="N216" s="147"/>
      <c r="O216" s="144" t="s">
        <v>755</v>
      </c>
      <c r="P216" s="123"/>
    </row>
    <row r="217" ht="22.5" customHeight="1">
      <c r="A217" s="100">
        <v>46261.0</v>
      </c>
      <c r="B217" s="101" t="s">
        <v>902</v>
      </c>
      <c r="C217" s="101" t="s">
        <v>344</v>
      </c>
      <c r="D217" s="102" t="s">
        <v>32</v>
      </c>
      <c r="E217" s="102" t="s">
        <v>34</v>
      </c>
      <c r="F217" s="101" t="s">
        <v>904</v>
      </c>
      <c r="G217" s="103" t="s">
        <v>936</v>
      </c>
      <c r="H217" s="23" t="str">
        <f>IF(C217="", "", IFERROR(VLOOKUP(C217, 'Tabla 2'!A:D, 2, FALSE), ""))</f>
        <v>Generalista Nacional</v>
      </c>
      <c r="I217" s="56">
        <f>IF(C217="", "", IFERROR(VLOOKUP(C217, 'Tabla 2'!A:D, 3, FALSE), ""))</f>
        <v>3</v>
      </c>
      <c r="J217" s="105">
        <f>IF(C217="", "", IFERROR(VLOOKUP(C217, 'Tabla 2'!A:D, 4, FALSE), ""))</f>
        <v>0</v>
      </c>
      <c r="K217" s="152" t="s">
        <v>44</v>
      </c>
      <c r="L217" s="141"/>
      <c r="M217" s="102" t="s">
        <v>155</v>
      </c>
      <c r="N217" s="148"/>
      <c r="O217" s="145" t="s">
        <v>755</v>
      </c>
      <c r="P217" s="111"/>
    </row>
    <row r="218" ht="22.5" customHeight="1">
      <c r="A218" s="112">
        <v>46261.0</v>
      </c>
      <c r="B218" s="113" t="s">
        <v>926</v>
      </c>
      <c r="C218" s="113" t="s">
        <v>346</v>
      </c>
      <c r="D218" s="114" t="s">
        <v>32</v>
      </c>
      <c r="E218" s="114" t="s">
        <v>34</v>
      </c>
      <c r="F218" s="113" t="s">
        <v>928</v>
      </c>
      <c r="G218" s="115" t="s">
        <v>937</v>
      </c>
      <c r="H218" s="29" t="str">
        <f>IF(C218="", "", IFERROR(VLOOKUP(C218, 'Tabla 2'!A:D, 2, FALSE), ""))</f>
        <v>Generalista Nacional</v>
      </c>
      <c r="I218" s="37">
        <f>IF(C218="", "", IFERROR(VLOOKUP(C218, 'Tabla 2'!A:D, 3, FALSE), ""))</f>
        <v>3</v>
      </c>
      <c r="J218" s="117">
        <f>IF(C218="", "", IFERROR(VLOOKUP(C218, 'Tabla 2'!A:D, 4, FALSE), ""))</f>
        <v>0</v>
      </c>
      <c r="K218" s="118" t="s">
        <v>44</v>
      </c>
      <c r="L218" s="119"/>
      <c r="M218" s="114" t="s">
        <v>155</v>
      </c>
      <c r="N218" s="147"/>
      <c r="O218" s="144" t="s">
        <v>755</v>
      </c>
      <c r="P218" s="123"/>
    </row>
    <row r="219" ht="22.5" customHeight="1">
      <c r="A219" s="100">
        <v>46261.0</v>
      </c>
      <c r="B219" s="101" t="s">
        <v>938</v>
      </c>
      <c r="C219" s="101" t="s">
        <v>156</v>
      </c>
      <c r="D219" s="129" t="s">
        <v>140</v>
      </c>
      <c r="E219" s="102" t="s">
        <v>34</v>
      </c>
      <c r="F219" s="101" t="s">
        <v>876</v>
      </c>
      <c r="G219" s="103" t="s">
        <v>939</v>
      </c>
      <c r="H219" s="23" t="str">
        <f>IF(C219="", "", IFERROR(VLOOKUP(C219, 'Tabla 2'!A:D, 2, FALSE), ""))</f>
        <v>Sustentabilidad Nacional</v>
      </c>
      <c r="I219" s="56">
        <f>IF(C219="", "", IFERROR(VLOOKUP(C219, 'Tabla 2'!A:D, 3, FALSE), ""))</f>
        <v>2</v>
      </c>
      <c r="J219" s="105">
        <f>IF(C219="", "", IFERROR(VLOOKUP(C219, 'Tabla 2'!A:D, 4, FALSE), ""))</f>
        <v>0</v>
      </c>
      <c r="K219" s="152" t="s">
        <v>44</v>
      </c>
      <c r="L219" s="131" t="b">
        <v>1</v>
      </c>
      <c r="M219" s="130" t="s">
        <v>46</v>
      </c>
      <c r="N219" s="148"/>
      <c r="O219" s="145" t="s">
        <v>755</v>
      </c>
      <c r="P219" s="111"/>
    </row>
    <row r="220" ht="22.5" customHeight="1">
      <c r="A220" s="112">
        <v>46261.0</v>
      </c>
      <c r="B220" s="113" t="s">
        <v>940</v>
      </c>
      <c r="C220" s="113" t="s">
        <v>941</v>
      </c>
      <c r="D220" s="114" t="s">
        <v>32</v>
      </c>
      <c r="E220" s="114" t="s">
        <v>34</v>
      </c>
      <c r="F220" s="113" t="s">
        <v>942</v>
      </c>
      <c r="G220" s="115" t="s">
        <v>943</v>
      </c>
      <c r="H220" s="29" t="s">
        <v>36</v>
      </c>
      <c r="I220" s="37">
        <v>3.0</v>
      </c>
      <c r="J220" s="153" t="str">
        <f>IF(C220="", "", IFERROR(VLOOKUP(C220, 'Tabla 2'!A:D, 4, FALSE), ""))</f>
        <v/>
      </c>
      <c r="K220" s="151" t="s">
        <v>44</v>
      </c>
      <c r="L220" s="119"/>
      <c r="M220" s="114" t="s">
        <v>155</v>
      </c>
      <c r="N220" s="147"/>
      <c r="O220" s="144" t="s">
        <v>755</v>
      </c>
      <c r="P220" s="123"/>
    </row>
    <row r="221" ht="22.5" customHeight="1">
      <c r="A221" s="100">
        <v>46262.0</v>
      </c>
      <c r="B221" s="101" t="s">
        <v>944</v>
      </c>
      <c r="C221" s="101" t="s">
        <v>513</v>
      </c>
      <c r="D221" s="102" t="s">
        <v>32</v>
      </c>
      <c r="E221" s="102" t="s">
        <v>34</v>
      </c>
      <c r="F221" s="101" t="s">
        <v>945</v>
      </c>
      <c r="G221" s="103" t="s">
        <v>946</v>
      </c>
      <c r="H221" s="23" t="str">
        <f>IF(C221="", "", IFERROR(VLOOKUP(C221, 'Tabla 2'!A:D, 2, FALSE), ""))</f>
        <v>Generalista Nacional</v>
      </c>
      <c r="I221" s="56">
        <f>IF(C221="", "", IFERROR(VLOOKUP(C221, 'Tabla 2'!A:D, 3, FALSE), ""))</f>
        <v>3</v>
      </c>
      <c r="J221" s="105">
        <f>IF(C221="", "", IFERROR(VLOOKUP(C221, 'Tabla 2'!A:D, 4, FALSE), ""))</f>
        <v>0</v>
      </c>
      <c r="K221" s="152" t="s">
        <v>44</v>
      </c>
      <c r="L221" s="141"/>
      <c r="M221" s="102" t="s">
        <v>155</v>
      </c>
      <c r="N221" s="148"/>
      <c r="O221" s="145" t="s">
        <v>755</v>
      </c>
      <c r="P221" s="111"/>
    </row>
    <row r="222" ht="22.5" customHeight="1">
      <c r="A222" s="112">
        <v>46262.0</v>
      </c>
      <c r="B222" s="113" t="s">
        <v>947</v>
      </c>
      <c r="C222" s="113" t="s">
        <v>41</v>
      </c>
      <c r="D222" s="132" t="s">
        <v>140</v>
      </c>
      <c r="E222" s="114" t="s">
        <v>34</v>
      </c>
      <c r="F222" s="113" t="s">
        <v>948</v>
      </c>
      <c r="G222" s="115" t="s">
        <v>949</v>
      </c>
      <c r="H222" s="29" t="str">
        <f>IF(C222="", "", IFERROR(VLOOKUP(C222, 'Tabla 2'!A:D, 2, FALSE), ""))</f>
        <v>Negocio Nacional</v>
      </c>
      <c r="I222" s="37">
        <f>IF(C222="", "", IFERROR(VLOOKUP(C222, 'Tabla 2'!A:D, 3, FALSE), ""))</f>
        <v>1</v>
      </c>
      <c r="J222" s="117">
        <f>IF(C222="", "", IFERROR(VLOOKUP(C222, 'Tabla 2'!A:D, 4, FALSE), ""))</f>
        <v>1200000</v>
      </c>
      <c r="K222" s="151" t="s">
        <v>44</v>
      </c>
      <c r="L222" s="133" t="b">
        <v>1</v>
      </c>
      <c r="M222" s="139" t="s">
        <v>46</v>
      </c>
      <c r="N222" s="157" t="s">
        <v>167</v>
      </c>
      <c r="O222" s="144" t="s">
        <v>755</v>
      </c>
      <c r="P222" s="123"/>
    </row>
    <row r="223" ht="22.5" customHeight="1">
      <c r="A223" s="100">
        <v>46262.0</v>
      </c>
      <c r="B223" s="101" t="s">
        <v>950</v>
      </c>
      <c r="C223" s="101" t="s">
        <v>91</v>
      </c>
      <c r="D223" s="129" t="s">
        <v>140</v>
      </c>
      <c r="E223" s="102" t="s">
        <v>34</v>
      </c>
      <c r="F223" s="101" t="s">
        <v>858</v>
      </c>
      <c r="G223" s="103" t="s">
        <v>951</v>
      </c>
      <c r="H223" s="23" t="str">
        <f>IF(C223="", "", IFERROR(VLOOKUP(C223, 'Tabla 2'!A:D, 2, FALSE), ""))</f>
        <v>Local BB</v>
      </c>
      <c r="I223" s="56">
        <f>IF(C223="", "", IFERROR(VLOOKUP(C223, 'Tabla 2'!A:D, 3, FALSE), ""))</f>
        <v>3</v>
      </c>
      <c r="J223" s="105">
        <f>IF(C223="", "", IFERROR(VLOOKUP(C223, 'Tabla 2'!A:D, 4, FALSE), ""))</f>
        <v>0</v>
      </c>
      <c r="K223" s="152" t="s">
        <v>44</v>
      </c>
      <c r="L223" s="131" t="b">
        <v>1</v>
      </c>
      <c r="M223" s="130" t="s">
        <v>46</v>
      </c>
      <c r="N223" s="155" t="s">
        <v>167</v>
      </c>
      <c r="O223" s="145" t="s">
        <v>755</v>
      </c>
      <c r="P223" s="111"/>
    </row>
    <row r="224" ht="22.5" customHeight="1">
      <c r="A224" s="112">
        <v>46262.0</v>
      </c>
      <c r="B224" s="113" t="s">
        <v>952</v>
      </c>
      <c r="C224" s="113" t="s">
        <v>953</v>
      </c>
      <c r="D224" s="132" t="s">
        <v>140</v>
      </c>
      <c r="E224" s="114" t="s">
        <v>34</v>
      </c>
      <c r="F224" s="113" t="s">
        <v>876</v>
      </c>
      <c r="G224" s="115" t="s">
        <v>954</v>
      </c>
      <c r="H224" s="29" t="s">
        <v>36</v>
      </c>
      <c r="I224" s="37">
        <v>3.0</v>
      </c>
      <c r="J224" s="153" t="str">
        <f>IF(C224="", "", IFERROR(VLOOKUP(C224, 'Tabla 2'!A:D, 4, FALSE), ""))</f>
        <v/>
      </c>
      <c r="K224" s="151" t="s">
        <v>44</v>
      </c>
      <c r="L224" s="133" t="b">
        <v>1</v>
      </c>
      <c r="M224" s="139" t="s">
        <v>46</v>
      </c>
      <c r="N224" s="147"/>
      <c r="O224" s="144" t="s">
        <v>755</v>
      </c>
      <c r="P224" s="123"/>
    </row>
    <row r="225" ht="22.5" customHeight="1">
      <c r="A225" s="160">
        <v>46261.0</v>
      </c>
      <c r="B225" s="161" t="s">
        <v>955</v>
      </c>
      <c r="C225" s="161" t="s">
        <v>955</v>
      </c>
      <c r="D225" s="162" t="s">
        <v>140</v>
      </c>
      <c r="E225" s="163" t="s">
        <v>34</v>
      </c>
      <c r="F225" s="161" t="s">
        <v>956</v>
      </c>
      <c r="G225" s="164" t="s">
        <v>957</v>
      </c>
      <c r="H225" s="165" t="str">
        <f>IF(C225="", "", IFERROR(VLOOKUP(C225, 'Tabla 2'!A:D, 2, FALSE), ""))</f>
        <v/>
      </c>
      <c r="I225" s="166">
        <v>1.0</v>
      </c>
      <c r="J225" s="167" t="str">
        <f>IF(C225="", "", IFERROR(VLOOKUP(C225, 'Tabla 2'!A:D, 4, FALSE), ""))</f>
        <v/>
      </c>
      <c r="K225" s="168" t="s">
        <v>44</v>
      </c>
      <c r="L225" s="131" t="b">
        <v>1</v>
      </c>
      <c r="M225" s="163" t="s">
        <v>155</v>
      </c>
      <c r="N225" s="169" t="s">
        <v>167</v>
      </c>
      <c r="O225" s="165" t="s">
        <v>43</v>
      </c>
      <c r="P225" s="170"/>
    </row>
    <row r="226" ht="22.5" customHeight="1">
      <c r="A226" s="100">
        <v>46267.0</v>
      </c>
      <c r="B226" s="101" t="s">
        <v>958</v>
      </c>
      <c r="C226" s="101" t="s">
        <v>75</v>
      </c>
      <c r="D226" s="129" t="s">
        <v>140</v>
      </c>
      <c r="E226" s="130" t="s">
        <v>718</v>
      </c>
      <c r="F226" s="101" t="s">
        <v>959</v>
      </c>
      <c r="G226" s="103" t="s">
        <v>960</v>
      </c>
      <c r="H226" s="23" t="str">
        <f>IFERROR(VLOOKUP(C226, 'Tabla 2'!$A$2:$C$315, 2, FALSE), "")</f>
        <v>Sustentabilidad Nacional</v>
      </c>
      <c r="I226" s="171">
        <f>IFERROR(VLOOKUP(C226, 'Tabla 2'!$A$2:$C$315, 3, FALSE), "")</f>
        <v>1</v>
      </c>
      <c r="J226" s="105">
        <v>600000.0</v>
      </c>
      <c r="K226" s="106" t="s">
        <v>44</v>
      </c>
      <c r="L226" s="131" t="b">
        <v>1</v>
      </c>
      <c r="M226" s="108" t="s">
        <v>155</v>
      </c>
      <c r="N226" s="135" t="s">
        <v>167</v>
      </c>
      <c r="O226" s="110" t="s">
        <v>43</v>
      </c>
      <c r="P226" s="111"/>
    </row>
    <row r="227" ht="22.5" customHeight="1">
      <c r="A227" s="112">
        <v>46271.0</v>
      </c>
      <c r="B227" s="113" t="s">
        <v>961</v>
      </c>
      <c r="C227" s="113" t="s">
        <v>31</v>
      </c>
      <c r="D227" s="132" t="s">
        <v>140</v>
      </c>
      <c r="E227" s="114" t="s">
        <v>34</v>
      </c>
      <c r="F227" s="113" t="s">
        <v>962</v>
      </c>
      <c r="G227" s="115" t="s">
        <v>963</v>
      </c>
      <c r="H227" s="29" t="str">
        <f>IFERROR(VLOOKUP(C227, 'Tabla 2'!$A$2:$C$315, 2, FALSE), "")</f>
        <v>Local BB</v>
      </c>
      <c r="I227" s="172">
        <f>IFERROR(VLOOKUP(C227, 'Tabla 2'!$A$2:$C$315, 3, FALSE), "")</f>
        <v>1</v>
      </c>
      <c r="J227" s="117">
        <v>900000.0</v>
      </c>
      <c r="K227" s="118" t="s">
        <v>44</v>
      </c>
      <c r="L227" s="119"/>
      <c r="M227" s="136" t="s">
        <v>46</v>
      </c>
      <c r="N227" s="137" t="s">
        <v>48</v>
      </c>
      <c r="O227" s="146" t="s">
        <v>49</v>
      </c>
      <c r="P227" s="123"/>
    </row>
    <row r="228" ht="22.5" customHeight="1">
      <c r="A228" s="100">
        <v>46271.0</v>
      </c>
      <c r="B228" s="101" t="s">
        <v>961</v>
      </c>
      <c r="C228" s="101" t="s">
        <v>31</v>
      </c>
      <c r="D228" s="129" t="s">
        <v>140</v>
      </c>
      <c r="E228" s="102" t="s">
        <v>34</v>
      </c>
      <c r="F228" s="101" t="s">
        <v>964</v>
      </c>
      <c r="G228" s="103" t="s">
        <v>965</v>
      </c>
      <c r="H228" s="23" t="str">
        <f>IFERROR(VLOOKUP(C228, 'Tabla 2'!$A$2:$C$315, 2, FALSE), "")</f>
        <v>Local BB</v>
      </c>
      <c r="I228" s="171">
        <f>IFERROR(VLOOKUP(C228, 'Tabla 2'!$A$2:$C$315, 3, FALSE), "")</f>
        <v>1</v>
      </c>
      <c r="J228" s="105">
        <v>900000.0</v>
      </c>
      <c r="K228" s="106" t="s">
        <v>44</v>
      </c>
      <c r="L228" s="107"/>
      <c r="M228" s="134" t="s">
        <v>46</v>
      </c>
      <c r="N228" s="135" t="s">
        <v>48</v>
      </c>
      <c r="O228" s="110" t="s">
        <v>49</v>
      </c>
      <c r="P228" s="111"/>
    </row>
    <row r="229" ht="22.5" customHeight="1">
      <c r="A229" s="112">
        <v>46272.0</v>
      </c>
      <c r="B229" s="113" t="s">
        <v>966</v>
      </c>
      <c r="C229" s="29" t="s">
        <v>469</v>
      </c>
      <c r="D229" s="114" t="s">
        <v>32</v>
      </c>
      <c r="E229" s="114" t="s">
        <v>34</v>
      </c>
      <c r="F229" s="113" t="s">
        <v>967</v>
      </c>
      <c r="G229" s="115" t="s">
        <v>968</v>
      </c>
      <c r="H229" s="29" t="str">
        <f>IFERROR(VLOOKUP(C229, 'Tabla 2'!$A$2:$C$315, 2, FALSE), "")</f>
        <v>Local BB</v>
      </c>
      <c r="I229" s="172">
        <f>IFERROR(VLOOKUP(C229, 'Tabla 2'!$A$2:$C$315, 3, FALSE), "")</f>
        <v>3</v>
      </c>
      <c r="J229" s="117">
        <v>0.0</v>
      </c>
      <c r="K229" s="173" t="s">
        <v>969</v>
      </c>
      <c r="L229" s="119"/>
      <c r="M229" s="136" t="s">
        <v>46</v>
      </c>
      <c r="N229" s="121" t="s">
        <v>158</v>
      </c>
      <c r="O229" s="122" t="s">
        <v>49</v>
      </c>
      <c r="P229" s="123"/>
    </row>
    <row r="230" ht="22.5" customHeight="1">
      <c r="A230" s="100">
        <v>46272.0</v>
      </c>
      <c r="B230" s="101" t="s">
        <v>970</v>
      </c>
      <c r="C230" s="23" t="s">
        <v>521</v>
      </c>
      <c r="D230" s="129" t="s">
        <v>140</v>
      </c>
      <c r="E230" s="102" t="s">
        <v>34</v>
      </c>
      <c r="F230" s="101" t="s">
        <v>971</v>
      </c>
      <c r="G230" s="103" t="s">
        <v>972</v>
      </c>
      <c r="H230" s="23" t="str">
        <f>IFERROR(VLOOKUP(C230, 'Tabla 2'!$A$2:$C$315, 2, FALSE), "")</f>
        <v>Generalista Nacional</v>
      </c>
      <c r="I230" s="171">
        <f>IFERROR(VLOOKUP(C230, 'Tabla 2'!$A$2:$C$315, 3, FALSE), "")</f>
        <v>3</v>
      </c>
      <c r="J230" s="105">
        <v>0.0</v>
      </c>
      <c r="K230" s="106" t="s">
        <v>44</v>
      </c>
      <c r="L230" s="131" t="b">
        <v>1</v>
      </c>
      <c r="M230" s="108" t="s">
        <v>155</v>
      </c>
      <c r="N230" s="109" t="s">
        <v>973</v>
      </c>
      <c r="O230" s="110" t="s">
        <v>62</v>
      </c>
      <c r="P230" s="111"/>
    </row>
    <row r="231" ht="22.5" customHeight="1">
      <c r="A231" s="112">
        <v>46274.0</v>
      </c>
      <c r="B231" s="113" t="s">
        <v>974</v>
      </c>
      <c r="C231" s="113" t="s">
        <v>86</v>
      </c>
      <c r="D231" s="132" t="s">
        <v>140</v>
      </c>
      <c r="E231" s="114" t="s">
        <v>34</v>
      </c>
      <c r="F231" s="113" t="s">
        <v>975</v>
      </c>
      <c r="G231" s="115" t="s">
        <v>976</v>
      </c>
      <c r="H231" s="29" t="str">
        <f>IFERROR(VLOOKUP(C231, 'Tabla 2'!$A$2:$C$315, 2, FALSE), "")</f>
        <v>Negocios</v>
      </c>
      <c r="I231" s="172">
        <f>IFERROR(VLOOKUP(C231, 'Tabla 2'!$A$2:$C$315, 3, FALSE), "")</f>
        <v>1</v>
      </c>
      <c r="J231" s="117">
        <v>500000.0</v>
      </c>
      <c r="K231" s="118" t="s">
        <v>44</v>
      </c>
      <c r="L231" s="133" t="b">
        <v>1</v>
      </c>
      <c r="M231" s="120" t="s">
        <v>155</v>
      </c>
      <c r="N231" s="121" t="s">
        <v>973</v>
      </c>
      <c r="O231" s="122" t="s">
        <v>49</v>
      </c>
      <c r="P231" s="123"/>
    </row>
    <row r="232" ht="22.5" customHeight="1">
      <c r="A232" s="100">
        <v>46275.0</v>
      </c>
      <c r="B232" s="101" t="s">
        <v>977</v>
      </c>
      <c r="C232" s="101" t="s">
        <v>161</v>
      </c>
      <c r="D232" s="102" t="s">
        <v>32</v>
      </c>
      <c r="E232" s="102" t="s">
        <v>34</v>
      </c>
      <c r="F232" s="101" t="s">
        <v>978</v>
      </c>
      <c r="G232" s="103" t="s">
        <v>979</v>
      </c>
      <c r="H232" s="23" t="str">
        <f>IFERROR(VLOOKUP(C232, 'Tabla 2'!$A$2:$C$315, 2, FALSE), "")</f>
        <v>Sustentabilidad Nacional</v>
      </c>
      <c r="I232" s="171">
        <f>IFERROR(VLOOKUP(C232, 'Tabla 2'!$A$2:$C$315, 3, FALSE), "")</f>
        <v>3</v>
      </c>
      <c r="J232" s="105">
        <v>0.0</v>
      </c>
      <c r="K232" s="106" t="s">
        <v>44</v>
      </c>
      <c r="L232" s="107"/>
      <c r="M232" s="134" t="s">
        <v>46</v>
      </c>
      <c r="N232" s="109" t="s">
        <v>158</v>
      </c>
      <c r="O232" s="110" t="s">
        <v>49</v>
      </c>
      <c r="P232" s="111"/>
    </row>
    <row r="233" ht="22.5" customHeight="1">
      <c r="A233" s="112">
        <v>46278.0</v>
      </c>
      <c r="B233" s="113" t="s">
        <v>980</v>
      </c>
      <c r="C233" s="113" t="s">
        <v>31</v>
      </c>
      <c r="D233" s="132" t="s">
        <v>140</v>
      </c>
      <c r="E233" s="114" t="s">
        <v>34</v>
      </c>
      <c r="F233" s="113" t="s">
        <v>981</v>
      </c>
      <c r="G233" s="115" t="s">
        <v>982</v>
      </c>
      <c r="H233" s="29" t="str">
        <f>IFERROR(VLOOKUP(C233, 'Tabla 2'!$A$2:$C$315, 2, FALSE), "")</f>
        <v>Local BB</v>
      </c>
      <c r="I233" s="172">
        <f>IFERROR(VLOOKUP(C233, 'Tabla 2'!$A$2:$C$315, 3, FALSE), "")</f>
        <v>1</v>
      </c>
      <c r="J233" s="117">
        <v>900000.0</v>
      </c>
      <c r="K233" s="118" t="s">
        <v>44</v>
      </c>
      <c r="L233" s="119"/>
      <c r="M233" s="136" t="s">
        <v>46</v>
      </c>
      <c r="N233" s="137" t="s">
        <v>48</v>
      </c>
      <c r="O233" s="122" t="s">
        <v>40</v>
      </c>
      <c r="P233" s="123"/>
    </row>
    <row r="234" ht="22.5" customHeight="1">
      <c r="A234" s="100">
        <v>46276.0</v>
      </c>
      <c r="B234" s="101" t="s">
        <v>983</v>
      </c>
      <c r="C234" s="101" t="s">
        <v>529</v>
      </c>
      <c r="D234" s="129" t="s">
        <v>140</v>
      </c>
      <c r="E234" s="102" t="s">
        <v>34</v>
      </c>
      <c r="F234" s="101" t="s">
        <v>984</v>
      </c>
      <c r="G234" s="103" t="s">
        <v>985</v>
      </c>
      <c r="H234" s="23" t="str">
        <f>IFERROR(VLOOKUP(C234, 'Tabla 2'!$A$2:$C$315, 2, FALSE), "")</f>
        <v>Generalista Nacional</v>
      </c>
      <c r="I234" s="171">
        <f>IFERROR(VLOOKUP(C234, 'Tabla 2'!$A$2:$C$315, 3, FALSE), "")</f>
        <v>3</v>
      </c>
      <c r="J234" s="105">
        <v>0.0</v>
      </c>
      <c r="K234" s="106" t="s">
        <v>44</v>
      </c>
      <c r="L234" s="131" t="b">
        <v>1</v>
      </c>
      <c r="M234" s="108" t="s">
        <v>155</v>
      </c>
      <c r="N234" s="109" t="s">
        <v>973</v>
      </c>
      <c r="O234" s="110" t="s">
        <v>62</v>
      </c>
      <c r="P234" s="111"/>
    </row>
    <row r="235" ht="22.5" customHeight="1">
      <c r="A235" s="112">
        <v>46276.0</v>
      </c>
      <c r="B235" s="113" t="s">
        <v>983</v>
      </c>
      <c r="C235" s="113" t="s">
        <v>530</v>
      </c>
      <c r="D235" s="132" t="s">
        <v>140</v>
      </c>
      <c r="E235" s="114" t="s">
        <v>34</v>
      </c>
      <c r="F235" s="113" t="s">
        <v>986</v>
      </c>
      <c r="G235" s="115" t="s">
        <v>987</v>
      </c>
      <c r="H235" s="29" t="str">
        <f>IFERROR(VLOOKUP(C235, 'Tabla 2'!$A$2:$C$315, 2, FALSE), "")</f>
        <v>Generalista Nacional</v>
      </c>
      <c r="I235" s="172">
        <f>IFERROR(VLOOKUP(C235, 'Tabla 2'!$A$2:$C$315, 3, FALSE), "")</f>
        <v>1</v>
      </c>
      <c r="J235" s="105">
        <v>1000000.0</v>
      </c>
      <c r="K235" s="118" t="s">
        <v>44</v>
      </c>
      <c r="L235" s="133" t="b">
        <v>1</v>
      </c>
      <c r="M235" s="120" t="s">
        <v>155</v>
      </c>
      <c r="N235" s="121" t="s">
        <v>973</v>
      </c>
      <c r="O235" s="122" t="s">
        <v>62</v>
      </c>
      <c r="P235" s="123"/>
    </row>
    <row r="236" ht="22.5" customHeight="1">
      <c r="A236" s="100">
        <v>46279.0</v>
      </c>
      <c r="B236" s="101" t="s">
        <v>988</v>
      </c>
      <c r="C236" s="101" t="s">
        <v>31</v>
      </c>
      <c r="D236" s="129" t="s">
        <v>140</v>
      </c>
      <c r="E236" s="102" t="s">
        <v>34</v>
      </c>
      <c r="F236" s="101" t="s">
        <v>989</v>
      </c>
      <c r="G236" s="103" t="s">
        <v>990</v>
      </c>
      <c r="H236" s="23" t="str">
        <f>IFERROR(VLOOKUP(C236, 'Tabla 2'!$A$2:$C$315, 2, FALSE), "")</f>
        <v>Local BB</v>
      </c>
      <c r="I236" s="171">
        <f>IFERROR(VLOOKUP(C236, 'Tabla 2'!$A$2:$C$315, 3, FALSE), "")</f>
        <v>1</v>
      </c>
      <c r="J236" s="105">
        <v>900000.0</v>
      </c>
      <c r="K236" s="106" t="s">
        <v>44</v>
      </c>
      <c r="L236" s="107"/>
      <c r="M236" s="134" t="s">
        <v>46</v>
      </c>
      <c r="N236" s="135" t="s">
        <v>48</v>
      </c>
      <c r="O236" s="110" t="s">
        <v>40</v>
      </c>
      <c r="P236" s="111"/>
    </row>
    <row r="237" ht="22.5" customHeight="1">
      <c r="A237" s="112">
        <v>46279.0</v>
      </c>
      <c r="B237" s="113" t="s">
        <v>988</v>
      </c>
      <c r="C237" s="29" t="s">
        <v>524</v>
      </c>
      <c r="D237" s="132" t="s">
        <v>140</v>
      </c>
      <c r="E237" s="114" t="s">
        <v>34</v>
      </c>
      <c r="F237" s="113" t="s">
        <v>991</v>
      </c>
      <c r="G237" s="115" t="s">
        <v>992</v>
      </c>
      <c r="H237" s="29" t="str">
        <f>IFERROR(VLOOKUP(C237, 'Tabla 2'!$A$2:$C$315, 2, FALSE), "")</f>
        <v>Local BB</v>
      </c>
      <c r="I237" s="172">
        <f>IFERROR(VLOOKUP(C237, 'Tabla 2'!$A$2:$C$315, 3, FALSE), "")</f>
        <v>3</v>
      </c>
      <c r="J237" s="117">
        <v>0.0</v>
      </c>
      <c r="K237" s="118" t="s">
        <v>44</v>
      </c>
      <c r="L237" s="133" t="b">
        <v>0</v>
      </c>
      <c r="M237" s="136" t="s">
        <v>46</v>
      </c>
      <c r="N237" s="137" t="s">
        <v>48</v>
      </c>
      <c r="O237" s="122" t="s">
        <v>40</v>
      </c>
      <c r="P237" s="123"/>
    </row>
    <row r="238" ht="22.5" customHeight="1">
      <c r="A238" s="100">
        <v>46279.0</v>
      </c>
      <c r="B238" s="101" t="s">
        <v>993</v>
      </c>
      <c r="C238" s="23" t="s">
        <v>61</v>
      </c>
      <c r="D238" s="129" t="s">
        <v>140</v>
      </c>
      <c r="E238" s="102" t="s">
        <v>34</v>
      </c>
      <c r="F238" s="101" t="s">
        <v>994</v>
      </c>
      <c r="G238" s="103" t="s">
        <v>995</v>
      </c>
      <c r="H238" s="23" t="str">
        <f>IFERROR(VLOOKUP(C238, 'Tabla 2'!$A$2:$C$315, 2, FALSE), "")</f>
        <v>Negocio Nacional</v>
      </c>
      <c r="I238" s="171">
        <f>IFERROR(VLOOKUP(C238, 'Tabla 2'!$A$2:$C$315, 3, FALSE), "")</f>
        <v>1</v>
      </c>
      <c r="J238" s="105">
        <v>500000.0</v>
      </c>
      <c r="K238" s="106" t="s">
        <v>44</v>
      </c>
      <c r="L238" s="149" t="b">
        <v>1</v>
      </c>
      <c r="M238" s="108" t="s">
        <v>155</v>
      </c>
      <c r="N238" s="109" t="s">
        <v>973</v>
      </c>
      <c r="O238" s="110" t="s">
        <v>40</v>
      </c>
      <c r="P238" s="111"/>
    </row>
    <row r="239" ht="22.5" customHeight="1">
      <c r="A239" s="112">
        <v>46281.0</v>
      </c>
      <c r="B239" s="113" t="s">
        <v>996</v>
      </c>
      <c r="C239" s="29" t="s">
        <v>997</v>
      </c>
      <c r="D239" s="114" t="s">
        <v>32</v>
      </c>
      <c r="E239" s="114" t="s">
        <v>34</v>
      </c>
      <c r="F239" s="113" t="s">
        <v>998</v>
      </c>
      <c r="G239" s="115" t="s">
        <v>999</v>
      </c>
      <c r="H239" s="29" t="str">
        <f>IFERROR(VLOOKUP(C239, 'Tabla 2'!$A$2:$C$315, 2, FALSE), "")</f>
        <v>Generalista Nacional</v>
      </c>
      <c r="I239" s="172">
        <f>IFERROR(VLOOKUP(C239, 'Tabla 2'!$A$2:$C$315, 3, FALSE), "")</f>
        <v>1</v>
      </c>
      <c r="J239" s="117">
        <v>800000.0</v>
      </c>
      <c r="K239" s="118" t="s">
        <v>44</v>
      </c>
      <c r="L239" s="119"/>
      <c r="M239" s="120" t="s">
        <v>155</v>
      </c>
      <c r="N239" s="128" t="s">
        <v>129</v>
      </c>
      <c r="O239" s="122" t="s">
        <v>49</v>
      </c>
      <c r="P239" s="123"/>
    </row>
    <row r="240" ht="22.5" customHeight="1">
      <c r="A240" s="100">
        <v>46281.0</v>
      </c>
      <c r="B240" s="101" t="s">
        <v>996</v>
      </c>
      <c r="C240" s="101" t="s">
        <v>527</v>
      </c>
      <c r="D240" s="102" t="s">
        <v>32</v>
      </c>
      <c r="E240" s="102" t="s">
        <v>34</v>
      </c>
      <c r="F240" s="101" t="s">
        <v>1000</v>
      </c>
      <c r="G240" s="103" t="s">
        <v>1001</v>
      </c>
      <c r="H240" s="23" t="str">
        <f>IFERROR(VLOOKUP(C240, 'Tabla 2'!$A$2:$C$315, 2, FALSE), "")</f>
        <v>Generalista Nacional</v>
      </c>
      <c r="I240" s="171">
        <f>IFERROR(VLOOKUP(C240, 'Tabla 2'!$A$2:$C$315, 3, FALSE), "")</f>
        <v>3</v>
      </c>
      <c r="J240" s="105">
        <v>0.0</v>
      </c>
      <c r="K240" s="106" t="s">
        <v>44</v>
      </c>
      <c r="L240" s="107"/>
      <c r="M240" s="102" t="s">
        <v>155</v>
      </c>
      <c r="N240" s="138" t="s">
        <v>129</v>
      </c>
      <c r="O240" s="110" t="s">
        <v>49</v>
      </c>
      <c r="P240" s="111"/>
    </row>
    <row r="241" ht="22.5" customHeight="1">
      <c r="A241" s="112">
        <v>46285.0</v>
      </c>
      <c r="B241" s="113" t="s">
        <v>1002</v>
      </c>
      <c r="C241" s="113" t="s">
        <v>31</v>
      </c>
      <c r="D241" s="114" t="s">
        <v>32</v>
      </c>
      <c r="E241" s="114" t="s">
        <v>34</v>
      </c>
      <c r="F241" s="113" t="s">
        <v>1003</v>
      </c>
      <c r="G241" s="115" t="s">
        <v>1004</v>
      </c>
      <c r="H241" s="29" t="str">
        <f>IFERROR(VLOOKUP(C241, 'Tabla 2'!$A$2:$C$315, 2, FALSE), "")</f>
        <v>Local BB</v>
      </c>
      <c r="I241" s="172">
        <f>IFERROR(VLOOKUP(C241, 'Tabla 2'!$A$2:$C$315, 3, FALSE), "")</f>
        <v>1</v>
      </c>
      <c r="J241" s="117">
        <v>900000.0</v>
      </c>
      <c r="K241" s="151" t="s">
        <v>44</v>
      </c>
      <c r="L241" s="119"/>
      <c r="M241" s="114" t="s">
        <v>155</v>
      </c>
      <c r="N241" s="140" t="s">
        <v>973</v>
      </c>
      <c r="O241" s="122" t="s">
        <v>49</v>
      </c>
      <c r="P241" s="123"/>
    </row>
    <row r="242" ht="22.5" customHeight="1">
      <c r="A242" s="100">
        <v>46285.0</v>
      </c>
      <c r="B242" s="101" t="s">
        <v>1005</v>
      </c>
      <c r="C242" s="101" t="s">
        <v>31</v>
      </c>
      <c r="D242" s="129" t="s">
        <v>140</v>
      </c>
      <c r="E242" s="130" t="s">
        <v>718</v>
      </c>
      <c r="F242" s="101" t="s">
        <v>1006</v>
      </c>
      <c r="G242" s="103" t="s">
        <v>1007</v>
      </c>
      <c r="H242" s="23" t="str">
        <f>IFERROR(VLOOKUP(C242, 'Tabla 2'!$A$2:$C$315, 2, FALSE), "")</f>
        <v>Local BB</v>
      </c>
      <c r="I242" s="171">
        <f>IFERROR(VLOOKUP(C242, 'Tabla 2'!$A$2:$C$315, 3, FALSE), "")</f>
        <v>1</v>
      </c>
      <c r="J242" s="105">
        <v>900000.0</v>
      </c>
      <c r="K242" s="152" t="s">
        <v>44</v>
      </c>
      <c r="L242" s="131" t="b">
        <v>1</v>
      </c>
      <c r="M242" s="102" t="s">
        <v>155</v>
      </c>
      <c r="N242" s="142" t="s">
        <v>973</v>
      </c>
      <c r="O242" s="110" t="s">
        <v>62</v>
      </c>
      <c r="P242" s="111"/>
    </row>
    <row r="243" ht="22.5" customHeight="1">
      <c r="A243" s="112">
        <v>46285.0</v>
      </c>
      <c r="B243" s="113" t="s">
        <v>1008</v>
      </c>
      <c r="C243" s="113" t="s">
        <v>31</v>
      </c>
      <c r="D243" s="114" t="s">
        <v>32</v>
      </c>
      <c r="E243" s="114" t="s">
        <v>34</v>
      </c>
      <c r="F243" s="113" t="s">
        <v>1009</v>
      </c>
      <c r="G243" s="115" t="s">
        <v>1010</v>
      </c>
      <c r="H243" s="29" t="str">
        <f>IFERROR(VLOOKUP(C243, 'Tabla 2'!$A$2:$C$315, 2, FALSE), "")</f>
        <v>Local BB</v>
      </c>
      <c r="I243" s="172">
        <f>IFERROR(VLOOKUP(C243, 'Tabla 2'!$A$2:$C$315, 3, FALSE), "")</f>
        <v>1</v>
      </c>
      <c r="J243" s="117">
        <v>900000.0</v>
      </c>
      <c r="K243" s="151" t="s">
        <v>44</v>
      </c>
      <c r="L243" s="119"/>
      <c r="M243" s="139" t="s">
        <v>46</v>
      </c>
      <c r="N243" s="157" t="s">
        <v>167</v>
      </c>
      <c r="O243" s="122" t="s">
        <v>49</v>
      </c>
      <c r="P243" s="123"/>
    </row>
    <row r="244" ht="22.5" customHeight="1">
      <c r="A244" s="100">
        <v>46283.0</v>
      </c>
      <c r="B244" s="101" t="s">
        <v>1011</v>
      </c>
      <c r="C244" s="101" t="s">
        <v>528</v>
      </c>
      <c r="D244" s="102" t="s">
        <v>32</v>
      </c>
      <c r="E244" s="102" t="s">
        <v>34</v>
      </c>
      <c r="F244" s="101" t="s">
        <v>1012</v>
      </c>
      <c r="G244" s="103" t="s">
        <v>1013</v>
      </c>
      <c r="H244" s="104" t="s">
        <v>36</v>
      </c>
      <c r="I244" s="171">
        <f>IFERROR(VLOOKUP(C244, 'Tabla 2'!$A$2:$C$315, 3, FALSE), "")</f>
        <v>3</v>
      </c>
      <c r="J244" s="105">
        <v>0.0</v>
      </c>
      <c r="K244" s="152" t="s">
        <v>44</v>
      </c>
      <c r="L244" s="141"/>
      <c r="M244" s="102" t="s">
        <v>155</v>
      </c>
      <c r="N244" s="142" t="s">
        <v>158</v>
      </c>
      <c r="O244" s="110" t="s">
        <v>49</v>
      </c>
      <c r="P244" s="111"/>
    </row>
    <row r="245" ht="22.5" customHeight="1">
      <c r="A245" s="112">
        <v>46286.0</v>
      </c>
      <c r="B245" s="113" t="s">
        <v>1014</v>
      </c>
      <c r="C245" s="113" t="s">
        <v>235</v>
      </c>
      <c r="D245" s="114" t="s">
        <v>32</v>
      </c>
      <c r="E245" s="114" t="s">
        <v>34</v>
      </c>
      <c r="F245" s="113" t="s">
        <v>1015</v>
      </c>
      <c r="G245" s="115" t="s">
        <v>1016</v>
      </c>
      <c r="H245" s="29" t="str">
        <f>IFERROR(VLOOKUP(C245, 'Tabla 2'!$A$2:$C$315, 2, FALSE), "")</f>
        <v>Generalista Nacional</v>
      </c>
      <c r="I245" s="172">
        <f>IFERROR(VLOOKUP(C245, 'Tabla 2'!$A$2:$C$315, 3, FALSE), "")</f>
        <v>3</v>
      </c>
      <c r="J245" s="117">
        <v>0.0</v>
      </c>
      <c r="K245" s="151" t="s">
        <v>44</v>
      </c>
      <c r="L245" s="119"/>
      <c r="M245" s="114" t="s">
        <v>155</v>
      </c>
      <c r="N245" s="140" t="s">
        <v>158</v>
      </c>
      <c r="O245" s="29" t="s">
        <v>40</v>
      </c>
      <c r="P245" s="123"/>
    </row>
    <row r="246" ht="22.5" customHeight="1">
      <c r="A246" s="100">
        <v>46286.0</v>
      </c>
      <c r="B246" s="101" t="s">
        <v>1017</v>
      </c>
      <c r="C246" s="101" t="s">
        <v>56</v>
      </c>
      <c r="D246" s="102" t="s">
        <v>32</v>
      </c>
      <c r="E246" s="102" t="s">
        <v>34</v>
      </c>
      <c r="F246" s="101" t="s">
        <v>1018</v>
      </c>
      <c r="G246" s="103" t="s">
        <v>1019</v>
      </c>
      <c r="H246" s="23" t="str">
        <f>IFERROR(VLOOKUP(C246, 'Tabla 2'!$A$2:$C$315, 2, FALSE), "")</f>
        <v>Local BB</v>
      </c>
      <c r="I246" s="171">
        <f>IFERROR(VLOOKUP(C246, 'Tabla 2'!$A$2:$C$315, 3, FALSE), "")</f>
        <v>1</v>
      </c>
      <c r="J246" s="105">
        <v>500000.0</v>
      </c>
      <c r="K246" s="152" t="s">
        <v>44</v>
      </c>
      <c r="L246" s="107"/>
      <c r="M246" s="102" t="s">
        <v>155</v>
      </c>
      <c r="N246" s="142" t="s">
        <v>158</v>
      </c>
      <c r="O246" s="23" t="s">
        <v>40</v>
      </c>
      <c r="P246" s="111"/>
    </row>
    <row r="247" ht="22.5" customHeight="1">
      <c r="A247" s="112">
        <v>46286.0</v>
      </c>
      <c r="B247" s="113" t="s">
        <v>1020</v>
      </c>
      <c r="C247" s="113" t="s">
        <v>31</v>
      </c>
      <c r="D247" s="114" t="s">
        <v>32</v>
      </c>
      <c r="E247" s="114" t="s">
        <v>34</v>
      </c>
      <c r="F247" s="113" t="s">
        <v>1021</v>
      </c>
      <c r="G247" s="115" t="s">
        <v>1022</v>
      </c>
      <c r="H247" s="29" t="str">
        <f>IFERROR(VLOOKUP(C247, 'Tabla 2'!$A$2:$C$315, 2, FALSE), "")</f>
        <v>Local BB</v>
      </c>
      <c r="I247" s="172">
        <f>IFERROR(VLOOKUP(C247, 'Tabla 2'!$A$2:$C$315, 3, FALSE), "")</f>
        <v>1</v>
      </c>
      <c r="J247" s="117">
        <v>900000.0</v>
      </c>
      <c r="K247" s="151" t="s">
        <v>44</v>
      </c>
      <c r="L247" s="119"/>
      <c r="M247" s="114" t="s">
        <v>155</v>
      </c>
      <c r="N247" s="140" t="s">
        <v>158</v>
      </c>
      <c r="O247" s="29" t="s">
        <v>40</v>
      </c>
      <c r="P247" s="123"/>
    </row>
    <row r="248" ht="22.5" customHeight="1">
      <c r="A248" s="100">
        <v>46286.0</v>
      </c>
      <c r="B248" s="101" t="s">
        <v>1017</v>
      </c>
      <c r="C248" s="101" t="s">
        <v>120</v>
      </c>
      <c r="D248" s="102" t="s">
        <v>32</v>
      </c>
      <c r="E248" s="102" t="s">
        <v>34</v>
      </c>
      <c r="F248" s="101" t="s">
        <v>1023</v>
      </c>
      <c r="G248" s="103" t="s">
        <v>1024</v>
      </c>
      <c r="H248" s="23" t="str">
        <f>IFERROR(VLOOKUP(C248, 'Tabla 2'!$A$2:$C$315, 2, FALSE), "")</f>
        <v>Local BB</v>
      </c>
      <c r="I248" s="171">
        <f>IFERROR(VLOOKUP(C248, 'Tabla 2'!$A$2:$C$315, 3, FALSE), "")</f>
        <v>3</v>
      </c>
      <c r="J248" s="105">
        <v>0.0</v>
      </c>
      <c r="K248" s="152" t="s">
        <v>44</v>
      </c>
      <c r="L248" s="107"/>
      <c r="M248" s="102" t="s">
        <v>155</v>
      </c>
      <c r="N248" s="142" t="s">
        <v>158</v>
      </c>
      <c r="O248" s="23" t="s">
        <v>40</v>
      </c>
      <c r="P248" s="111"/>
    </row>
    <row r="249" ht="22.5" customHeight="1">
      <c r="A249" s="112">
        <v>46288.0</v>
      </c>
      <c r="B249" s="113" t="s">
        <v>1025</v>
      </c>
      <c r="C249" s="156" t="s">
        <v>61</v>
      </c>
      <c r="D249" s="132" t="s">
        <v>140</v>
      </c>
      <c r="E249" s="114" t="s">
        <v>34</v>
      </c>
      <c r="F249" s="113" t="s">
        <v>1026</v>
      </c>
      <c r="G249" s="115" t="s">
        <v>1027</v>
      </c>
      <c r="H249" s="29" t="str">
        <f>IFERROR(VLOOKUP(C249, 'Tabla 2'!$A$2:$C$315, 2, FALSE), "")</f>
        <v>Negocio Nacional</v>
      </c>
      <c r="I249" s="172">
        <f>IFERROR(VLOOKUP(C249, 'Tabla 2'!$A$2:$C$315, 3, FALSE), "")</f>
        <v>1</v>
      </c>
      <c r="J249" s="117">
        <v>500000.0</v>
      </c>
      <c r="K249" s="151" t="s">
        <v>44</v>
      </c>
      <c r="L249" s="133" t="b">
        <v>1</v>
      </c>
      <c r="M249" s="114" t="s">
        <v>155</v>
      </c>
      <c r="N249" s="140" t="s">
        <v>973</v>
      </c>
      <c r="O249" s="29" t="s">
        <v>40</v>
      </c>
      <c r="P249" s="123"/>
    </row>
    <row r="250" ht="22.5" customHeight="1">
      <c r="A250" s="100">
        <v>46292.0</v>
      </c>
      <c r="B250" s="101" t="s">
        <v>1028</v>
      </c>
      <c r="C250" s="101" t="s">
        <v>31</v>
      </c>
      <c r="D250" s="129" t="s">
        <v>140</v>
      </c>
      <c r="E250" s="102" t="s">
        <v>34</v>
      </c>
      <c r="F250" s="101" t="s">
        <v>1029</v>
      </c>
      <c r="G250" s="103" t="s">
        <v>1030</v>
      </c>
      <c r="H250" s="23" t="str">
        <f>IFERROR(VLOOKUP(C250, 'Tabla 2'!$A$2:$C$315, 2, FALSE), "")</f>
        <v>Local BB</v>
      </c>
      <c r="I250" s="171">
        <f>IFERROR(VLOOKUP(C250, 'Tabla 2'!$A$2:$C$315, 3, FALSE), "")</f>
        <v>1</v>
      </c>
      <c r="J250" s="105">
        <v>900000.0</v>
      </c>
      <c r="K250" s="152" t="s">
        <v>44</v>
      </c>
      <c r="L250" s="131" t="b">
        <v>1</v>
      </c>
      <c r="M250" s="102" t="s">
        <v>155</v>
      </c>
      <c r="N250" s="155" t="s">
        <v>48</v>
      </c>
      <c r="O250" s="23" t="s">
        <v>49</v>
      </c>
      <c r="P250" s="111"/>
    </row>
    <row r="251" ht="22.5" customHeight="1">
      <c r="A251" s="112">
        <v>46292.0</v>
      </c>
      <c r="B251" s="113" t="s">
        <v>1031</v>
      </c>
      <c r="C251" s="113" t="s">
        <v>31</v>
      </c>
      <c r="D251" s="132" t="s">
        <v>140</v>
      </c>
      <c r="E251" s="114" t="s">
        <v>34</v>
      </c>
      <c r="F251" s="113" t="s">
        <v>1032</v>
      </c>
      <c r="G251" s="115" t="s">
        <v>1033</v>
      </c>
      <c r="H251" s="29" t="str">
        <f>IFERROR(VLOOKUP(C251, 'Tabla 2'!$A$2:$C$315, 2, FALSE), "")</f>
        <v>Local BB</v>
      </c>
      <c r="I251" s="172">
        <f>IFERROR(VLOOKUP(C251, 'Tabla 2'!$A$2:$C$315, 3, FALSE), "")</f>
        <v>1</v>
      </c>
      <c r="J251" s="117">
        <v>900000.0</v>
      </c>
      <c r="K251" s="151" t="s">
        <v>44</v>
      </c>
      <c r="L251" s="133" t="b">
        <v>1</v>
      </c>
      <c r="M251" s="114" t="s">
        <v>155</v>
      </c>
      <c r="N251" s="157" t="s">
        <v>48</v>
      </c>
      <c r="O251" s="29" t="s">
        <v>49</v>
      </c>
      <c r="P251" s="123"/>
    </row>
    <row r="252" ht="22.5" customHeight="1">
      <c r="A252" s="100">
        <v>46293.0</v>
      </c>
      <c r="B252" s="101" t="s">
        <v>1034</v>
      </c>
      <c r="C252" s="101" t="s">
        <v>81</v>
      </c>
      <c r="D252" s="102" t="s">
        <v>32</v>
      </c>
      <c r="E252" s="102" t="s">
        <v>34</v>
      </c>
      <c r="F252" s="101" t="s">
        <v>1035</v>
      </c>
      <c r="G252" s="103" t="s">
        <v>1036</v>
      </c>
      <c r="H252" s="23" t="str">
        <f>IFERROR(VLOOKUP(C252, 'Tabla 2'!$A$2:$C$315, 2, FALSE), "")</f>
        <v>Negocio Nacional</v>
      </c>
      <c r="I252" s="171">
        <f>IFERROR(VLOOKUP(C252, 'Tabla 2'!$A$2:$C$315, 3, FALSE), "")</f>
        <v>1</v>
      </c>
      <c r="J252" s="105">
        <v>8000000.0</v>
      </c>
      <c r="K252" s="152" t="s">
        <v>44</v>
      </c>
      <c r="L252" s="107"/>
      <c r="M252" s="102" t="s">
        <v>155</v>
      </c>
      <c r="N252" s="142" t="s">
        <v>158</v>
      </c>
      <c r="O252" s="23" t="s">
        <v>616</v>
      </c>
      <c r="P252" s="111"/>
    </row>
    <row r="253">
      <c r="B253" s="174"/>
      <c r="C253" s="174"/>
      <c r="F253" s="174"/>
      <c r="I253" s="175"/>
    </row>
    <row r="254">
      <c r="B254" s="174"/>
      <c r="C254" s="174"/>
      <c r="F254" s="174"/>
      <c r="I254" s="175"/>
    </row>
    <row r="255">
      <c r="B255" s="174"/>
      <c r="C255" s="174"/>
      <c r="F255" s="174"/>
      <c r="I255" s="175"/>
    </row>
    <row r="256">
      <c r="B256" s="174"/>
      <c r="C256" s="174"/>
      <c r="F256" s="174"/>
      <c r="I256" s="175"/>
    </row>
    <row r="257">
      <c r="B257" s="174"/>
      <c r="C257" s="174"/>
      <c r="F257" s="174"/>
      <c r="I257" s="175"/>
    </row>
    <row r="258">
      <c r="B258" s="174"/>
      <c r="C258" s="174"/>
      <c r="F258" s="174"/>
      <c r="I258" s="175"/>
    </row>
    <row r="259">
      <c r="B259" s="174"/>
      <c r="C259" s="174"/>
      <c r="F259" s="174"/>
      <c r="I259" s="175"/>
    </row>
    <row r="260">
      <c r="B260" s="174"/>
      <c r="C260" s="174"/>
      <c r="F260" s="174"/>
      <c r="I260" s="175"/>
    </row>
    <row r="261">
      <c r="B261" s="174"/>
      <c r="C261" s="174"/>
      <c r="F261" s="174"/>
      <c r="I261" s="175"/>
    </row>
    <row r="262">
      <c r="B262" s="174"/>
      <c r="C262" s="174"/>
      <c r="F262" s="174"/>
      <c r="I262" s="175"/>
    </row>
    <row r="263">
      <c r="B263" s="174"/>
      <c r="C263" s="174"/>
      <c r="F263" s="174"/>
      <c r="I263" s="175"/>
    </row>
    <row r="264">
      <c r="B264" s="174"/>
      <c r="C264" s="174"/>
      <c r="F264" s="174"/>
      <c r="I264" s="175"/>
    </row>
    <row r="265">
      <c r="B265" s="174"/>
      <c r="C265" s="174"/>
      <c r="F265" s="174"/>
      <c r="I265" s="175"/>
    </row>
    <row r="266">
      <c r="B266" s="174"/>
      <c r="C266" s="174"/>
      <c r="F266" s="174"/>
      <c r="I266" s="175"/>
    </row>
    <row r="267">
      <c r="B267" s="174"/>
      <c r="C267" s="174"/>
      <c r="F267" s="174"/>
      <c r="I267" s="175"/>
    </row>
    <row r="268">
      <c r="B268" s="174"/>
      <c r="C268" s="174"/>
      <c r="F268" s="174"/>
      <c r="I268" s="175"/>
    </row>
    <row r="269">
      <c r="B269" s="174"/>
      <c r="C269" s="174"/>
      <c r="F269" s="174"/>
      <c r="I269" s="175"/>
    </row>
    <row r="270">
      <c r="B270" s="174"/>
      <c r="C270" s="174"/>
      <c r="F270" s="174"/>
      <c r="I270" s="175"/>
    </row>
    <row r="271">
      <c r="B271" s="174"/>
      <c r="C271" s="174"/>
      <c r="F271" s="174"/>
      <c r="I271" s="175"/>
    </row>
    <row r="272">
      <c r="B272" s="174"/>
      <c r="C272" s="174"/>
      <c r="F272" s="174"/>
      <c r="I272" s="175"/>
    </row>
    <row r="273">
      <c r="B273" s="174"/>
      <c r="C273" s="174"/>
      <c r="F273" s="174"/>
      <c r="I273" s="175"/>
    </row>
    <row r="274">
      <c r="B274" s="174"/>
      <c r="C274" s="174"/>
      <c r="F274" s="174"/>
      <c r="I274" s="175"/>
    </row>
    <row r="275">
      <c r="B275" s="174"/>
      <c r="C275" s="174"/>
      <c r="F275" s="174"/>
      <c r="I275" s="175"/>
    </row>
    <row r="276">
      <c r="B276" s="174"/>
      <c r="C276" s="174"/>
      <c r="F276" s="174"/>
      <c r="I276" s="175"/>
    </row>
    <row r="277">
      <c r="B277" s="174"/>
      <c r="C277" s="174"/>
      <c r="F277" s="174"/>
      <c r="I277" s="175"/>
    </row>
    <row r="278">
      <c r="B278" s="174"/>
      <c r="C278" s="174"/>
      <c r="F278" s="174"/>
      <c r="I278" s="175"/>
    </row>
    <row r="279">
      <c r="B279" s="174"/>
      <c r="C279" s="174"/>
      <c r="F279" s="174"/>
      <c r="I279" s="175"/>
    </row>
    <row r="280">
      <c r="B280" s="174"/>
      <c r="C280" s="174"/>
      <c r="F280" s="174"/>
      <c r="I280" s="175"/>
    </row>
    <row r="281">
      <c r="B281" s="174"/>
      <c r="C281" s="174"/>
      <c r="F281" s="174"/>
      <c r="I281" s="175"/>
    </row>
    <row r="282">
      <c r="B282" s="174"/>
      <c r="C282" s="174"/>
      <c r="F282" s="174"/>
      <c r="I282" s="175"/>
    </row>
    <row r="283">
      <c r="B283" s="174"/>
      <c r="C283" s="174"/>
      <c r="F283" s="174"/>
      <c r="I283" s="175"/>
    </row>
    <row r="284">
      <c r="B284" s="174"/>
      <c r="C284" s="174"/>
      <c r="F284" s="174"/>
      <c r="I284" s="175"/>
    </row>
    <row r="285">
      <c r="B285" s="174"/>
      <c r="C285" s="174"/>
      <c r="F285" s="174"/>
      <c r="I285" s="175"/>
    </row>
    <row r="286">
      <c r="B286" s="174"/>
      <c r="C286" s="174"/>
      <c r="F286" s="174"/>
      <c r="I286" s="175"/>
    </row>
    <row r="287">
      <c r="B287" s="174"/>
      <c r="C287" s="174"/>
      <c r="F287" s="174"/>
      <c r="I287" s="175"/>
    </row>
    <row r="288">
      <c r="B288" s="174"/>
      <c r="C288" s="174"/>
      <c r="F288" s="174"/>
      <c r="I288" s="175"/>
    </row>
    <row r="289">
      <c r="B289" s="174"/>
      <c r="C289" s="174"/>
      <c r="F289" s="174"/>
      <c r="I289" s="175"/>
    </row>
    <row r="290">
      <c r="B290" s="174"/>
      <c r="C290" s="174"/>
      <c r="F290" s="174"/>
      <c r="I290" s="175"/>
    </row>
    <row r="291">
      <c r="B291" s="174"/>
      <c r="C291" s="174"/>
      <c r="F291" s="174"/>
      <c r="I291" s="175"/>
    </row>
    <row r="292">
      <c r="B292" s="174"/>
      <c r="C292" s="174"/>
      <c r="F292" s="174"/>
      <c r="I292" s="175"/>
    </row>
    <row r="293">
      <c r="B293" s="174"/>
      <c r="C293" s="174"/>
      <c r="F293" s="174"/>
      <c r="I293" s="175"/>
    </row>
    <row r="294">
      <c r="B294" s="174"/>
      <c r="C294" s="174"/>
      <c r="F294" s="174"/>
      <c r="I294" s="175"/>
    </row>
    <row r="295">
      <c r="B295" s="174"/>
      <c r="C295" s="174"/>
      <c r="F295" s="174"/>
      <c r="I295" s="175"/>
    </row>
    <row r="296">
      <c r="B296" s="174"/>
      <c r="C296" s="174"/>
      <c r="F296" s="174"/>
      <c r="I296" s="175"/>
    </row>
    <row r="297">
      <c r="B297" s="174"/>
      <c r="C297" s="174"/>
      <c r="F297" s="174"/>
      <c r="I297" s="175"/>
    </row>
    <row r="298">
      <c r="B298" s="174"/>
      <c r="C298" s="174"/>
      <c r="F298" s="174"/>
      <c r="I298" s="175"/>
    </row>
    <row r="299">
      <c r="B299" s="174"/>
      <c r="C299" s="174"/>
      <c r="F299" s="174"/>
      <c r="I299" s="175"/>
    </row>
    <row r="300">
      <c r="B300" s="174"/>
      <c r="C300" s="174"/>
      <c r="F300" s="174"/>
      <c r="I300" s="175"/>
    </row>
    <row r="301">
      <c r="B301" s="174"/>
      <c r="C301" s="174"/>
      <c r="F301" s="174"/>
      <c r="I301" s="175"/>
    </row>
    <row r="302">
      <c r="B302" s="174"/>
      <c r="C302" s="174"/>
      <c r="F302" s="174"/>
      <c r="I302" s="175"/>
    </row>
    <row r="303">
      <c r="B303" s="174"/>
      <c r="C303" s="174"/>
      <c r="F303" s="174"/>
      <c r="I303" s="175"/>
    </row>
    <row r="304">
      <c r="B304" s="174"/>
      <c r="C304" s="174"/>
      <c r="F304" s="174"/>
      <c r="I304" s="175"/>
    </row>
    <row r="305">
      <c r="B305" s="174"/>
      <c r="C305" s="174"/>
      <c r="F305" s="174"/>
      <c r="I305" s="175"/>
    </row>
    <row r="306">
      <c r="B306" s="174"/>
      <c r="C306" s="174"/>
      <c r="F306" s="174"/>
      <c r="I306" s="175"/>
    </row>
    <row r="307">
      <c r="B307" s="174"/>
      <c r="C307" s="174"/>
      <c r="F307" s="174"/>
      <c r="I307" s="175"/>
    </row>
    <row r="308">
      <c r="B308" s="174"/>
      <c r="C308" s="174"/>
      <c r="F308" s="174"/>
      <c r="I308" s="175"/>
    </row>
    <row r="309">
      <c r="B309" s="174"/>
      <c r="C309" s="174"/>
      <c r="F309" s="174"/>
      <c r="I309" s="175"/>
    </row>
    <row r="310">
      <c r="B310" s="174"/>
      <c r="C310" s="174"/>
      <c r="F310" s="174"/>
      <c r="I310" s="175"/>
    </row>
    <row r="311">
      <c r="B311" s="174"/>
      <c r="C311" s="174"/>
      <c r="F311" s="174"/>
      <c r="I311" s="175"/>
    </row>
    <row r="312">
      <c r="B312" s="174"/>
      <c r="C312" s="174"/>
      <c r="F312" s="174"/>
      <c r="I312" s="175"/>
    </row>
    <row r="313">
      <c r="B313" s="174"/>
      <c r="C313" s="174"/>
      <c r="F313" s="174"/>
      <c r="I313" s="175"/>
    </row>
    <row r="314">
      <c r="B314" s="174"/>
      <c r="C314" s="174"/>
      <c r="F314" s="174"/>
      <c r="I314" s="175"/>
    </row>
    <row r="315">
      <c r="B315" s="174"/>
      <c r="C315" s="174"/>
      <c r="F315" s="174"/>
      <c r="I315" s="175"/>
    </row>
    <row r="316">
      <c r="B316" s="174"/>
      <c r="C316" s="174"/>
      <c r="F316" s="174"/>
      <c r="I316" s="175"/>
    </row>
    <row r="317">
      <c r="B317" s="174"/>
      <c r="C317" s="174"/>
      <c r="F317" s="174"/>
      <c r="I317" s="175"/>
    </row>
    <row r="318">
      <c r="B318" s="174"/>
      <c r="C318" s="174"/>
      <c r="F318" s="174"/>
      <c r="I318" s="175"/>
    </row>
    <row r="319">
      <c r="B319" s="174"/>
      <c r="C319" s="174"/>
      <c r="F319" s="174"/>
      <c r="I319" s="175"/>
    </row>
    <row r="320">
      <c r="B320" s="174"/>
      <c r="C320" s="174"/>
      <c r="F320" s="174"/>
      <c r="I320" s="175"/>
    </row>
    <row r="321">
      <c r="B321" s="174"/>
      <c r="C321" s="174"/>
      <c r="F321" s="174"/>
      <c r="I321" s="175"/>
    </row>
    <row r="322">
      <c r="B322" s="174"/>
      <c r="C322" s="174"/>
      <c r="F322" s="174"/>
      <c r="I322" s="175"/>
    </row>
    <row r="323">
      <c r="B323" s="174"/>
      <c r="C323" s="174"/>
      <c r="F323" s="174"/>
      <c r="I323" s="175"/>
    </row>
    <row r="324">
      <c r="B324" s="174"/>
      <c r="C324" s="174"/>
      <c r="F324" s="174"/>
      <c r="I324" s="175"/>
    </row>
    <row r="325">
      <c r="B325" s="174"/>
      <c r="C325" s="174"/>
      <c r="F325" s="174"/>
      <c r="I325" s="175"/>
    </row>
    <row r="326">
      <c r="B326" s="174"/>
      <c r="C326" s="174"/>
      <c r="F326" s="174"/>
      <c r="I326" s="175"/>
    </row>
    <row r="327">
      <c r="B327" s="174"/>
      <c r="C327" s="174"/>
      <c r="F327" s="174"/>
      <c r="I327" s="175"/>
    </row>
    <row r="328">
      <c r="B328" s="174"/>
      <c r="C328" s="174"/>
      <c r="F328" s="174"/>
      <c r="I328" s="175"/>
    </row>
    <row r="329">
      <c r="B329" s="174"/>
      <c r="C329" s="174"/>
      <c r="F329" s="174"/>
      <c r="I329" s="175"/>
    </row>
    <row r="330">
      <c r="B330" s="174"/>
      <c r="C330" s="174"/>
      <c r="F330" s="174"/>
      <c r="I330" s="175"/>
    </row>
    <row r="331">
      <c r="B331" s="174"/>
      <c r="C331" s="174"/>
      <c r="F331" s="174"/>
      <c r="I331" s="175"/>
    </row>
    <row r="332">
      <c r="B332" s="174"/>
      <c r="C332" s="174"/>
      <c r="F332" s="174"/>
      <c r="I332" s="175"/>
    </row>
    <row r="333">
      <c r="B333" s="174"/>
      <c r="C333" s="174"/>
      <c r="F333" s="174"/>
      <c r="I333" s="175"/>
    </row>
    <row r="334">
      <c r="B334" s="174"/>
      <c r="C334" s="174"/>
      <c r="F334" s="174"/>
      <c r="I334" s="175"/>
    </row>
    <row r="335">
      <c r="B335" s="174"/>
      <c r="C335" s="174"/>
      <c r="F335" s="174"/>
      <c r="I335" s="175"/>
    </row>
    <row r="336">
      <c r="B336" s="174"/>
      <c r="C336" s="174"/>
      <c r="F336" s="174"/>
      <c r="I336" s="175"/>
    </row>
    <row r="337">
      <c r="B337" s="174"/>
      <c r="C337" s="174"/>
      <c r="F337" s="174"/>
      <c r="I337" s="175"/>
    </row>
    <row r="338">
      <c r="B338" s="174"/>
      <c r="C338" s="174"/>
      <c r="F338" s="174"/>
      <c r="I338" s="175"/>
    </row>
    <row r="339">
      <c r="B339" s="174"/>
      <c r="C339" s="174"/>
      <c r="F339" s="174"/>
      <c r="I339" s="175"/>
    </row>
    <row r="340">
      <c r="B340" s="174"/>
      <c r="C340" s="174"/>
      <c r="F340" s="174"/>
      <c r="I340" s="175"/>
    </row>
    <row r="341">
      <c r="B341" s="174"/>
      <c r="C341" s="174"/>
      <c r="F341" s="174"/>
      <c r="I341" s="175"/>
    </row>
    <row r="342">
      <c r="B342" s="174"/>
      <c r="C342" s="174"/>
      <c r="F342" s="174"/>
      <c r="I342" s="175"/>
    </row>
    <row r="343">
      <c r="B343" s="174"/>
      <c r="C343" s="174"/>
      <c r="F343" s="174"/>
      <c r="I343" s="175"/>
    </row>
    <row r="344">
      <c r="B344" s="174"/>
      <c r="C344" s="174"/>
      <c r="F344" s="174"/>
      <c r="I344" s="175"/>
    </row>
    <row r="345">
      <c r="B345" s="174"/>
      <c r="C345" s="174"/>
      <c r="F345" s="174"/>
      <c r="I345" s="175"/>
    </row>
    <row r="346">
      <c r="B346" s="174"/>
      <c r="C346" s="174"/>
      <c r="F346" s="174"/>
      <c r="I346" s="175"/>
    </row>
    <row r="347">
      <c r="B347" s="174"/>
      <c r="C347" s="174"/>
      <c r="F347" s="174"/>
      <c r="I347" s="175"/>
    </row>
    <row r="348">
      <c r="B348" s="174"/>
      <c r="C348" s="174"/>
      <c r="F348" s="174"/>
      <c r="I348" s="175"/>
    </row>
    <row r="349">
      <c r="B349" s="174"/>
      <c r="C349" s="174"/>
      <c r="F349" s="174"/>
      <c r="I349" s="175"/>
    </row>
    <row r="350">
      <c r="B350" s="174"/>
      <c r="C350" s="174"/>
      <c r="F350" s="174"/>
      <c r="I350" s="175"/>
    </row>
    <row r="351">
      <c r="B351" s="174"/>
      <c r="C351" s="174"/>
      <c r="F351" s="174"/>
      <c r="I351" s="175"/>
    </row>
    <row r="352">
      <c r="B352" s="174"/>
      <c r="C352" s="174"/>
      <c r="F352" s="174"/>
      <c r="I352" s="175"/>
    </row>
    <row r="353">
      <c r="B353" s="174"/>
      <c r="C353" s="174"/>
      <c r="F353" s="174"/>
      <c r="I353" s="175"/>
    </row>
    <row r="354">
      <c r="B354" s="174"/>
      <c r="C354" s="174"/>
      <c r="F354" s="174"/>
      <c r="I354" s="175"/>
    </row>
    <row r="355">
      <c r="B355" s="174"/>
      <c r="C355" s="174"/>
      <c r="F355" s="174"/>
      <c r="I355" s="175"/>
    </row>
    <row r="356">
      <c r="B356" s="174"/>
      <c r="C356" s="174"/>
      <c r="F356" s="174"/>
      <c r="I356" s="175"/>
    </row>
    <row r="357">
      <c r="B357" s="174"/>
      <c r="C357" s="174"/>
      <c r="F357" s="174"/>
      <c r="I357" s="175"/>
    </row>
    <row r="358">
      <c r="B358" s="174"/>
      <c r="C358" s="174"/>
      <c r="F358" s="174"/>
      <c r="I358" s="175"/>
    </row>
    <row r="359">
      <c r="B359" s="174"/>
      <c r="C359" s="174"/>
      <c r="F359" s="174"/>
      <c r="I359" s="175"/>
    </row>
    <row r="360">
      <c r="B360" s="174"/>
      <c r="C360" s="174"/>
      <c r="F360" s="174"/>
      <c r="I360" s="175"/>
    </row>
    <row r="361">
      <c r="B361" s="174"/>
      <c r="C361" s="174"/>
      <c r="F361" s="174"/>
      <c r="I361" s="175"/>
    </row>
    <row r="362">
      <c r="B362" s="174"/>
      <c r="C362" s="174"/>
      <c r="F362" s="174"/>
      <c r="I362" s="175"/>
    </row>
    <row r="363">
      <c r="B363" s="174"/>
      <c r="C363" s="174"/>
      <c r="F363" s="174"/>
      <c r="I363" s="175"/>
    </row>
    <row r="364">
      <c r="B364" s="174"/>
      <c r="C364" s="174"/>
      <c r="F364" s="174"/>
      <c r="I364" s="175"/>
    </row>
    <row r="365">
      <c r="B365" s="174"/>
      <c r="C365" s="174"/>
      <c r="F365" s="174"/>
      <c r="I365" s="175"/>
    </row>
    <row r="366">
      <c r="B366" s="174"/>
      <c r="C366" s="174"/>
      <c r="F366" s="174"/>
      <c r="I366" s="175"/>
    </row>
    <row r="367">
      <c r="B367" s="174"/>
      <c r="C367" s="174"/>
      <c r="F367" s="174"/>
      <c r="I367" s="175"/>
    </row>
    <row r="368">
      <c r="B368" s="174"/>
      <c r="C368" s="174"/>
      <c r="F368" s="174"/>
      <c r="I368" s="175"/>
    </row>
    <row r="369">
      <c r="B369" s="174"/>
      <c r="C369" s="174"/>
      <c r="F369" s="174"/>
      <c r="I369" s="175"/>
    </row>
    <row r="370">
      <c r="B370" s="174"/>
      <c r="C370" s="174"/>
      <c r="F370" s="174"/>
      <c r="I370" s="175"/>
    </row>
    <row r="371">
      <c r="B371" s="174"/>
      <c r="C371" s="174"/>
      <c r="F371" s="174"/>
      <c r="I371" s="175"/>
    </row>
    <row r="372">
      <c r="B372" s="174"/>
      <c r="C372" s="174"/>
      <c r="F372" s="174"/>
      <c r="I372" s="175"/>
    </row>
    <row r="373">
      <c r="B373" s="174"/>
      <c r="C373" s="174"/>
      <c r="F373" s="174"/>
      <c r="I373" s="175"/>
    </row>
    <row r="374">
      <c r="B374" s="174"/>
      <c r="C374" s="174"/>
      <c r="F374" s="174"/>
      <c r="I374" s="175"/>
    </row>
    <row r="375">
      <c r="B375" s="174"/>
      <c r="C375" s="174"/>
      <c r="F375" s="174"/>
      <c r="I375" s="175"/>
    </row>
    <row r="376">
      <c r="B376" s="174"/>
      <c r="C376" s="174"/>
      <c r="F376" s="174"/>
      <c r="I376" s="175"/>
    </row>
    <row r="377">
      <c r="B377" s="174"/>
      <c r="C377" s="174"/>
      <c r="F377" s="174"/>
      <c r="I377" s="175"/>
    </row>
    <row r="378">
      <c r="B378" s="174"/>
      <c r="C378" s="174"/>
      <c r="F378" s="174"/>
      <c r="I378" s="175"/>
    </row>
    <row r="379">
      <c r="B379" s="174"/>
      <c r="C379" s="174"/>
      <c r="F379" s="174"/>
      <c r="I379" s="175"/>
    </row>
    <row r="380">
      <c r="B380" s="174"/>
      <c r="C380" s="174"/>
      <c r="F380" s="174"/>
      <c r="I380" s="175"/>
    </row>
    <row r="381">
      <c r="B381" s="174"/>
      <c r="C381" s="174"/>
      <c r="F381" s="174"/>
      <c r="I381" s="175"/>
    </row>
    <row r="382">
      <c r="B382" s="174"/>
      <c r="C382" s="174"/>
      <c r="F382" s="174"/>
      <c r="I382" s="175"/>
    </row>
    <row r="383">
      <c r="B383" s="174"/>
      <c r="C383" s="174"/>
      <c r="F383" s="174"/>
      <c r="I383" s="175"/>
    </row>
    <row r="384">
      <c r="B384" s="174"/>
      <c r="C384" s="174"/>
      <c r="F384" s="174"/>
      <c r="I384" s="175"/>
    </row>
    <row r="385">
      <c r="B385" s="174"/>
      <c r="C385" s="174"/>
      <c r="F385" s="174"/>
      <c r="I385" s="175"/>
    </row>
    <row r="386">
      <c r="B386" s="174"/>
      <c r="C386" s="174"/>
      <c r="F386" s="174"/>
      <c r="I386" s="175"/>
    </row>
    <row r="387">
      <c r="B387" s="174"/>
      <c r="C387" s="174"/>
      <c r="F387" s="174"/>
      <c r="I387" s="175"/>
    </row>
    <row r="388">
      <c r="B388" s="174"/>
      <c r="C388" s="174"/>
      <c r="F388" s="174"/>
      <c r="I388" s="175"/>
    </row>
    <row r="389">
      <c r="B389" s="174"/>
      <c r="C389" s="174"/>
      <c r="F389" s="174"/>
      <c r="I389" s="175"/>
    </row>
    <row r="390">
      <c r="B390" s="174"/>
      <c r="C390" s="174"/>
      <c r="F390" s="174"/>
      <c r="I390" s="175"/>
    </row>
    <row r="391">
      <c r="B391" s="174"/>
      <c r="C391" s="174"/>
      <c r="F391" s="174"/>
      <c r="I391" s="175"/>
    </row>
    <row r="392">
      <c r="B392" s="174"/>
      <c r="C392" s="174"/>
      <c r="F392" s="174"/>
      <c r="I392" s="175"/>
    </row>
    <row r="393">
      <c r="B393" s="174"/>
      <c r="C393" s="174"/>
      <c r="F393" s="174"/>
      <c r="I393" s="175"/>
    </row>
    <row r="394">
      <c r="B394" s="174"/>
      <c r="C394" s="174"/>
      <c r="F394" s="174"/>
      <c r="I394" s="175"/>
    </row>
    <row r="395">
      <c r="B395" s="174"/>
      <c r="C395" s="174"/>
      <c r="F395" s="174"/>
      <c r="I395" s="175"/>
    </row>
    <row r="396">
      <c r="B396" s="174"/>
      <c r="C396" s="174"/>
      <c r="F396" s="174"/>
      <c r="I396" s="175"/>
    </row>
    <row r="397">
      <c r="B397" s="174"/>
      <c r="C397" s="174"/>
      <c r="F397" s="174"/>
      <c r="I397" s="175"/>
    </row>
    <row r="398">
      <c r="B398" s="174"/>
      <c r="C398" s="174"/>
      <c r="F398" s="174"/>
      <c r="I398" s="175"/>
    </row>
    <row r="399">
      <c r="B399" s="174"/>
      <c r="C399" s="174"/>
      <c r="F399" s="174"/>
      <c r="I399" s="175"/>
    </row>
    <row r="400">
      <c r="B400" s="174"/>
      <c r="C400" s="174"/>
      <c r="F400" s="174"/>
      <c r="I400" s="175"/>
    </row>
    <row r="401">
      <c r="B401" s="174"/>
      <c r="C401" s="174"/>
      <c r="F401" s="174"/>
      <c r="I401" s="175"/>
    </row>
    <row r="402">
      <c r="B402" s="174"/>
      <c r="C402" s="174"/>
      <c r="F402" s="174"/>
      <c r="I402" s="175"/>
    </row>
    <row r="403">
      <c r="B403" s="174"/>
      <c r="C403" s="174"/>
      <c r="F403" s="174"/>
      <c r="I403" s="175"/>
    </row>
    <row r="404">
      <c r="B404" s="174"/>
      <c r="C404" s="174"/>
      <c r="F404" s="174"/>
      <c r="I404" s="175"/>
    </row>
    <row r="405">
      <c r="B405" s="174"/>
      <c r="C405" s="174"/>
      <c r="F405" s="174"/>
      <c r="I405" s="175"/>
    </row>
    <row r="406">
      <c r="B406" s="174"/>
      <c r="C406" s="174"/>
      <c r="F406" s="174"/>
      <c r="I406" s="175"/>
    </row>
    <row r="407">
      <c r="B407" s="174"/>
      <c r="C407" s="174"/>
      <c r="F407" s="174"/>
      <c r="I407" s="175"/>
    </row>
    <row r="408">
      <c r="B408" s="174"/>
      <c r="C408" s="174"/>
      <c r="F408" s="174"/>
      <c r="I408" s="175"/>
    </row>
    <row r="409">
      <c r="B409" s="174"/>
      <c r="C409" s="174"/>
      <c r="F409" s="174"/>
      <c r="I409" s="175"/>
    </row>
    <row r="410">
      <c r="B410" s="174"/>
      <c r="C410" s="174"/>
      <c r="F410" s="174"/>
      <c r="I410" s="175"/>
    </row>
    <row r="411">
      <c r="B411" s="174"/>
      <c r="C411" s="174"/>
      <c r="F411" s="174"/>
      <c r="I411" s="175"/>
    </row>
    <row r="412">
      <c r="B412" s="174"/>
      <c r="C412" s="174"/>
      <c r="F412" s="174"/>
      <c r="I412" s="175"/>
    </row>
    <row r="413">
      <c r="B413" s="174"/>
      <c r="C413" s="174"/>
      <c r="F413" s="174"/>
      <c r="I413" s="175"/>
    </row>
    <row r="414">
      <c r="B414" s="174"/>
      <c r="C414" s="174"/>
      <c r="F414" s="174"/>
      <c r="I414" s="175"/>
    </row>
    <row r="415">
      <c r="B415" s="174"/>
      <c r="C415" s="174"/>
      <c r="F415" s="174"/>
      <c r="I415" s="175"/>
    </row>
    <row r="416">
      <c r="B416" s="174"/>
      <c r="C416" s="174"/>
      <c r="F416" s="174"/>
      <c r="I416" s="175"/>
    </row>
    <row r="417">
      <c r="B417" s="174"/>
      <c r="C417" s="174"/>
      <c r="F417" s="174"/>
      <c r="I417" s="175"/>
    </row>
    <row r="418">
      <c r="B418" s="174"/>
      <c r="C418" s="174"/>
      <c r="F418" s="174"/>
      <c r="I418" s="175"/>
    </row>
    <row r="419">
      <c r="B419" s="174"/>
      <c r="C419" s="174"/>
      <c r="F419" s="174"/>
      <c r="I419" s="175"/>
    </row>
    <row r="420">
      <c r="B420" s="174"/>
      <c r="C420" s="174"/>
      <c r="F420" s="174"/>
      <c r="I420" s="175"/>
    </row>
    <row r="421">
      <c r="B421" s="174"/>
      <c r="C421" s="174"/>
      <c r="F421" s="174"/>
      <c r="I421" s="175"/>
    </row>
    <row r="422">
      <c r="B422" s="174"/>
      <c r="C422" s="174"/>
      <c r="F422" s="174"/>
      <c r="I422" s="175"/>
    </row>
    <row r="423">
      <c r="B423" s="174"/>
      <c r="C423" s="174"/>
      <c r="F423" s="174"/>
      <c r="I423" s="175"/>
    </row>
    <row r="424">
      <c r="B424" s="174"/>
      <c r="C424" s="174"/>
      <c r="F424" s="174"/>
      <c r="I424" s="175"/>
    </row>
    <row r="425">
      <c r="B425" s="174"/>
      <c r="C425" s="174"/>
      <c r="F425" s="174"/>
      <c r="I425" s="175"/>
    </row>
    <row r="426">
      <c r="B426" s="174"/>
      <c r="C426" s="174"/>
      <c r="F426" s="174"/>
      <c r="I426" s="175"/>
    </row>
    <row r="427">
      <c r="B427" s="174"/>
      <c r="C427" s="174"/>
      <c r="F427" s="174"/>
      <c r="I427" s="175"/>
    </row>
    <row r="428">
      <c r="B428" s="174"/>
      <c r="C428" s="174"/>
      <c r="F428" s="174"/>
      <c r="I428" s="175"/>
    </row>
    <row r="429">
      <c r="B429" s="174"/>
      <c r="C429" s="174"/>
      <c r="F429" s="174"/>
      <c r="I429" s="175"/>
    </row>
    <row r="430">
      <c r="B430" s="174"/>
      <c r="C430" s="174"/>
      <c r="F430" s="174"/>
      <c r="I430" s="175"/>
    </row>
    <row r="431">
      <c r="B431" s="174"/>
      <c r="C431" s="174"/>
      <c r="F431" s="174"/>
      <c r="I431" s="175"/>
    </row>
    <row r="432">
      <c r="B432" s="174"/>
      <c r="C432" s="174"/>
      <c r="F432" s="174"/>
      <c r="I432" s="175"/>
    </row>
    <row r="433">
      <c r="B433" s="174"/>
      <c r="C433" s="174"/>
      <c r="F433" s="174"/>
      <c r="I433" s="175"/>
    </row>
    <row r="434">
      <c r="B434" s="174"/>
      <c r="C434" s="174"/>
      <c r="F434" s="174"/>
      <c r="I434" s="175"/>
    </row>
    <row r="435">
      <c r="B435" s="174"/>
      <c r="C435" s="174"/>
      <c r="F435" s="174"/>
      <c r="I435" s="175"/>
    </row>
    <row r="436">
      <c r="B436" s="174"/>
      <c r="C436" s="174"/>
      <c r="F436" s="174"/>
      <c r="I436" s="175"/>
    </row>
    <row r="437">
      <c r="B437" s="174"/>
      <c r="C437" s="174"/>
      <c r="F437" s="174"/>
      <c r="I437" s="175"/>
    </row>
    <row r="438">
      <c r="B438" s="174"/>
      <c r="C438" s="174"/>
      <c r="F438" s="174"/>
      <c r="I438" s="175"/>
    </row>
    <row r="439">
      <c r="B439" s="174"/>
      <c r="C439" s="174"/>
      <c r="F439" s="174"/>
      <c r="I439" s="175"/>
    </row>
    <row r="440">
      <c r="B440" s="174"/>
      <c r="C440" s="174"/>
      <c r="F440" s="174"/>
      <c r="I440" s="175"/>
    </row>
    <row r="441">
      <c r="B441" s="174"/>
      <c r="C441" s="174"/>
      <c r="F441" s="174"/>
      <c r="I441" s="175"/>
    </row>
    <row r="442">
      <c r="B442" s="174"/>
      <c r="C442" s="174"/>
      <c r="F442" s="174"/>
      <c r="I442" s="175"/>
    </row>
    <row r="443">
      <c r="B443" s="174"/>
      <c r="C443" s="174"/>
      <c r="F443" s="174"/>
      <c r="I443" s="175"/>
    </row>
    <row r="444">
      <c r="B444" s="174"/>
      <c r="C444" s="174"/>
      <c r="F444" s="174"/>
      <c r="I444" s="175"/>
    </row>
    <row r="445">
      <c r="B445" s="174"/>
      <c r="C445" s="174"/>
      <c r="F445" s="174"/>
      <c r="I445" s="175"/>
    </row>
    <row r="446">
      <c r="B446" s="174"/>
      <c r="C446" s="174"/>
      <c r="F446" s="174"/>
      <c r="I446" s="175"/>
    </row>
    <row r="447">
      <c r="B447" s="174"/>
      <c r="C447" s="174"/>
      <c r="F447" s="174"/>
      <c r="I447" s="175"/>
    </row>
    <row r="448">
      <c r="B448" s="174"/>
      <c r="C448" s="174"/>
      <c r="F448" s="174"/>
      <c r="I448" s="175"/>
    </row>
    <row r="449">
      <c r="B449" s="174"/>
      <c r="C449" s="174"/>
      <c r="F449" s="174"/>
      <c r="I449" s="175"/>
    </row>
    <row r="450">
      <c r="B450" s="174"/>
      <c r="C450" s="174"/>
      <c r="F450" s="174"/>
      <c r="I450" s="175"/>
    </row>
    <row r="451">
      <c r="B451" s="174"/>
      <c r="C451" s="174"/>
      <c r="F451" s="174"/>
      <c r="I451" s="175"/>
    </row>
    <row r="452">
      <c r="B452" s="174"/>
      <c r="C452" s="174"/>
      <c r="F452" s="174"/>
      <c r="I452" s="175"/>
    </row>
    <row r="453">
      <c r="B453" s="174"/>
      <c r="C453" s="174"/>
      <c r="F453" s="174"/>
      <c r="I453" s="175"/>
    </row>
    <row r="454">
      <c r="B454" s="174"/>
      <c r="C454" s="174"/>
      <c r="F454" s="174"/>
      <c r="I454" s="175"/>
    </row>
    <row r="455">
      <c r="B455" s="174"/>
      <c r="C455" s="174"/>
      <c r="F455" s="174"/>
      <c r="I455" s="175"/>
    </row>
    <row r="456">
      <c r="B456" s="174"/>
      <c r="C456" s="174"/>
      <c r="F456" s="174"/>
      <c r="I456" s="175"/>
    </row>
    <row r="457">
      <c r="B457" s="174"/>
      <c r="C457" s="174"/>
      <c r="F457" s="174"/>
      <c r="I457" s="175"/>
    </row>
    <row r="458">
      <c r="B458" s="174"/>
      <c r="C458" s="174"/>
      <c r="F458" s="174"/>
      <c r="I458" s="175"/>
    </row>
    <row r="459">
      <c r="B459" s="174"/>
      <c r="C459" s="174"/>
      <c r="F459" s="174"/>
      <c r="I459" s="175"/>
    </row>
    <row r="460">
      <c r="B460" s="174"/>
      <c r="C460" s="174"/>
      <c r="F460" s="174"/>
      <c r="I460" s="175"/>
    </row>
    <row r="461">
      <c r="B461" s="174"/>
      <c r="C461" s="174"/>
      <c r="F461" s="174"/>
      <c r="I461" s="175"/>
    </row>
    <row r="462">
      <c r="B462" s="174"/>
      <c r="C462" s="174"/>
      <c r="F462" s="174"/>
      <c r="I462" s="175"/>
    </row>
    <row r="463">
      <c r="B463" s="174"/>
      <c r="C463" s="174"/>
      <c r="F463" s="174"/>
      <c r="I463" s="175"/>
    </row>
    <row r="464">
      <c r="B464" s="174"/>
      <c r="C464" s="174"/>
      <c r="F464" s="174"/>
      <c r="I464" s="175"/>
    </row>
    <row r="465">
      <c r="B465" s="174"/>
      <c r="C465" s="174"/>
      <c r="F465" s="174"/>
      <c r="I465" s="175"/>
    </row>
    <row r="466">
      <c r="B466" s="174"/>
      <c r="C466" s="174"/>
      <c r="F466" s="174"/>
      <c r="I466" s="175"/>
    </row>
    <row r="467">
      <c r="B467" s="174"/>
      <c r="C467" s="174"/>
      <c r="F467" s="174"/>
      <c r="I467" s="175"/>
    </row>
    <row r="468">
      <c r="B468" s="174"/>
      <c r="C468" s="174"/>
      <c r="F468" s="174"/>
      <c r="I468" s="175"/>
    </row>
    <row r="469">
      <c r="B469" s="174"/>
      <c r="C469" s="174"/>
      <c r="F469" s="174"/>
      <c r="I469" s="175"/>
    </row>
    <row r="470">
      <c r="B470" s="174"/>
      <c r="C470" s="174"/>
      <c r="F470" s="174"/>
      <c r="I470" s="175"/>
    </row>
    <row r="471">
      <c r="B471" s="174"/>
      <c r="C471" s="174"/>
      <c r="F471" s="174"/>
      <c r="I471" s="175"/>
    </row>
    <row r="472">
      <c r="B472" s="174"/>
      <c r="C472" s="174"/>
      <c r="F472" s="174"/>
      <c r="I472" s="175"/>
    </row>
    <row r="473">
      <c r="B473" s="174"/>
      <c r="C473" s="174"/>
      <c r="F473" s="174"/>
      <c r="I473" s="175"/>
    </row>
    <row r="474">
      <c r="B474" s="174"/>
      <c r="C474" s="174"/>
      <c r="F474" s="174"/>
      <c r="I474" s="175"/>
    </row>
    <row r="475">
      <c r="B475" s="174"/>
      <c r="C475" s="174"/>
      <c r="F475" s="174"/>
      <c r="I475" s="175"/>
    </row>
    <row r="476">
      <c r="B476" s="174"/>
      <c r="C476" s="174"/>
      <c r="F476" s="174"/>
      <c r="I476" s="175"/>
    </row>
    <row r="477">
      <c r="B477" s="174"/>
      <c r="C477" s="174"/>
      <c r="F477" s="174"/>
      <c r="I477" s="175"/>
    </row>
    <row r="478">
      <c r="B478" s="174"/>
      <c r="C478" s="174"/>
      <c r="F478" s="174"/>
      <c r="I478" s="175"/>
    </row>
    <row r="479">
      <c r="B479" s="174"/>
      <c r="C479" s="174"/>
      <c r="F479" s="174"/>
      <c r="I479" s="175"/>
    </row>
    <row r="480">
      <c r="B480" s="174"/>
      <c r="C480" s="174"/>
      <c r="F480" s="174"/>
      <c r="I480" s="175"/>
    </row>
    <row r="481">
      <c r="B481" s="174"/>
      <c r="C481" s="174"/>
      <c r="F481" s="174"/>
      <c r="I481" s="175"/>
    </row>
    <row r="482">
      <c r="B482" s="174"/>
      <c r="C482" s="174"/>
      <c r="F482" s="174"/>
      <c r="I482" s="175"/>
    </row>
    <row r="483">
      <c r="B483" s="174"/>
      <c r="C483" s="174"/>
      <c r="F483" s="174"/>
      <c r="I483" s="175"/>
    </row>
    <row r="484">
      <c r="B484" s="174"/>
      <c r="C484" s="174"/>
      <c r="F484" s="174"/>
      <c r="I484" s="175"/>
    </row>
    <row r="485">
      <c r="B485" s="174"/>
      <c r="C485" s="174"/>
      <c r="F485" s="174"/>
      <c r="I485" s="175"/>
    </row>
    <row r="486">
      <c r="B486" s="174"/>
      <c r="C486" s="174"/>
      <c r="F486" s="174"/>
      <c r="I486" s="175"/>
    </row>
    <row r="487">
      <c r="B487" s="174"/>
      <c r="C487" s="174"/>
      <c r="F487" s="174"/>
      <c r="I487" s="175"/>
    </row>
    <row r="488">
      <c r="B488" s="174"/>
      <c r="C488" s="174"/>
      <c r="F488" s="174"/>
      <c r="I488" s="175"/>
    </row>
    <row r="489">
      <c r="B489" s="174"/>
      <c r="C489" s="174"/>
      <c r="F489" s="174"/>
      <c r="I489" s="175"/>
    </row>
    <row r="490">
      <c r="B490" s="174"/>
      <c r="C490" s="174"/>
      <c r="F490" s="174"/>
      <c r="I490" s="175"/>
    </row>
    <row r="491">
      <c r="B491" s="174"/>
      <c r="C491" s="174"/>
      <c r="F491" s="174"/>
      <c r="I491" s="175"/>
    </row>
    <row r="492">
      <c r="B492" s="174"/>
      <c r="C492" s="174"/>
      <c r="F492" s="174"/>
      <c r="I492" s="175"/>
    </row>
    <row r="493">
      <c r="B493" s="174"/>
      <c r="C493" s="174"/>
      <c r="F493" s="174"/>
      <c r="I493" s="175"/>
    </row>
    <row r="494">
      <c r="B494" s="174"/>
      <c r="C494" s="174"/>
      <c r="F494" s="174"/>
      <c r="I494" s="175"/>
    </row>
    <row r="495">
      <c r="B495" s="174"/>
      <c r="C495" s="174"/>
      <c r="F495" s="174"/>
      <c r="I495" s="175"/>
    </row>
    <row r="496">
      <c r="B496" s="174"/>
      <c r="C496" s="174"/>
      <c r="F496" s="174"/>
      <c r="I496" s="175"/>
    </row>
    <row r="497">
      <c r="B497" s="174"/>
      <c r="C497" s="174"/>
      <c r="F497" s="174"/>
      <c r="I497" s="175"/>
    </row>
    <row r="498">
      <c r="B498" s="174"/>
      <c r="C498" s="174"/>
      <c r="F498" s="174"/>
      <c r="I498" s="175"/>
    </row>
    <row r="499">
      <c r="B499" s="174"/>
      <c r="C499" s="174"/>
      <c r="F499" s="174"/>
      <c r="I499" s="175"/>
    </row>
    <row r="500">
      <c r="B500" s="174"/>
      <c r="C500" s="174"/>
      <c r="F500" s="174"/>
      <c r="I500" s="175"/>
    </row>
    <row r="501">
      <c r="B501" s="174"/>
      <c r="C501" s="174"/>
      <c r="F501" s="174"/>
      <c r="I501" s="175"/>
    </row>
    <row r="502">
      <c r="B502" s="174"/>
      <c r="C502" s="174"/>
      <c r="F502" s="174"/>
      <c r="I502" s="175"/>
    </row>
    <row r="503">
      <c r="B503" s="174"/>
      <c r="C503" s="174"/>
      <c r="F503" s="174"/>
      <c r="I503" s="175"/>
    </row>
    <row r="504">
      <c r="B504" s="174"/>
      <c r="C504" s="174"/>
      <c r="F504" s="174"/>
      <c r="I504" s="175"/>
    </row>
    <row r="505">
      <c r="B505" s="174"/>
      <c r="C505" s="174"/>
      <c r="F505" s="174"/>
      <c r="I505" s="175"/>
    </row>
    <row r="506">
      <c r="B506" s="174"/>
      <c r="C506" s="174"/>
      <c r="F506" s="174"/>
      <c r="I506" s="175"/>
    </row>
    <row r="507">
      <c r="B507" s="174"/>
      <c r="C507" s="174"/>
      <c r="F507" s="174"/>
      <c r="I507" s="175"/>
    </row>
    <row r="508">
      <c r="B508" s="174"/>
      <c r="C508" s="174"/>
      <c r="F508" s="174"/>
      <c r="I508" s="175"/>
    </row>
    <row r="509">
      <c r="B509" s="174"/>
      <c r="C509" s="174"/>
      <c r="F509" s="174"/>
      <c r="I509" s="175"/>
    </row>
    <row r="510">
      <c r="B510" s="174"/>
      <c r="C510" s="174"/>
      <c r="F510" s="174"/>
      <c r="I510" s="175"/>
    </row>
    <row r="511">
      <c r="B511" s="174"/>
      <c r="C511" s="174"/>
      <c r="F511" s="174"/>
      <c r="I511" s="175"/>
    </row>
    <row r="512">
      <c r="B512" s="174"/>
      <c r="C512" s="174"/>
      <c r="F512" s="174"/>
      <c r="I512" s="175"/>
    </row>
    <row r="513">
      <c r="B513" s="174"/>
      <c r="C513" s="174"/>
      <c r="F513" s="174"/>
      <c r="I513" s="175"/>
    </row>
    <row r="514">
      <c r="B514" s="174"/>
      <c r="C514" s="174"/>
      <c r="F514" s="174"/>
      <c r="I514" s="175"/>
    </row>
    <row r="515">
      <c r="B515" s="174"/>
      <c r="C515" s="174"/>
      <c r="F515" s="174"/>
      <c r="I515" s="175"/>
    </row>
    <row r="516">
      <c r="B516" s="174"/>
      <c r="C516" s="174"/>
      <c r="F516" s="174"/>
      <c r="I516" s="175"/>
    </row>
    <row r="517">
      <c r="B517" s="174"/>
      <c r="C517" s="174"/>
      <c r="F517" s="174"/>
      <c r="I517" s="175"/>
    </row>
    <row r="518">
      <c r="B518" s="174"/>
      <c r="C518" s="174"/>
      <c r="F518" s="174"/>
      <c r="I518" s="175"/>
    </row>
    <row r="519">
      <c r="B519" s="174"/>
      <c r="C519" s="174"/>
      <c r="F519" s="174"/>
      <c r="I519" s="175"/>
    </row>
    <row r="520">
      <c r="B520" s="174"/>
      <c r="C520" s="174"/>
      <c r="F520" s="174"/>
      <c r="I520" s="175"/>
    </row>
    <row r="521">
      <c r="B521" s="174"/>
      <c r="C521" s="174"/>
      <c r="F521" s="174"/>
      <c r="I521" s="175"/>
    </row>
    <row r="522">
      <c r="B522" s="174"/>
      <c r="C522" s="174"/>
      <c r="F522" s="174"/>
      <c r="I522" s="175"/>
    </row>
    <row r="523">
      <c r="B523" s="174"/>
      <c r="C523" s="174"/>
      <c r="F523" s="174"/>
      <c r="I523" s="175"/>
    </row>
    <row r="524">
      <c r="B524" s="174"/>
      <c r="C524" s="174"/>
      <c r="F524" s="174"/>
      <c r="I524" s="175"/>
    </row>
    <row r="525">
      <c r="B525" s="174"/>
      <c r="C525" s="174"/>
      <c r="F525" s="174"/>
      <c r="I525" s="175"/>
    </row>
    <row r="526">
      <c r="B526" s="174"/>
      <c r="C526" s="174"/>
      <c r="F526" s="174"/>
      <c r="I526" s="175"/>
    </row>
    <row r="527">
      <c r="B527" s="174"/>
      <c r="C527" s="174"/>
      <c r="F527" s="174"/>
      <c r="I527" s="175"/>
    </row>
    <row r="528">
      <c r="B528" s="174"/>
      <c r="C528" s="174"/>
      <c r="F528" s="174"/>
      <c r="I528" s="175"/>
    </row>
    <row r="529">
      <c r="B529" s="174"/>
      <c r="C529" s="174"/>
      <c r="F529" s="174"/>
      <c r="I529" s="175"/>
    </row>
    <row r="530">
      <c r="B530" s="174"/>
      <c r="C530" s="174"/>
      <c r="F530" s="174"/>
      <c r="I530" s="175"/>
    </row>
    <row r="531">
      <c r="B531" s="174"/>
      <c r="C531" s="174"/>
      <c r="F531" s="174"/>
      <c r="I531" s="175"/>
    </row>
    <row r="532">
      <c r="B532" s="174"/>
      <c r="C532" s="174"/>
      <c r="F532" s="174"/>
      <c r="I532" s="175"/>
    </row>
    <row r="533">
      <c r="B533" s="174"/>
      <c r="C533" s="174"/>
      <c r="F533" s="174"/>
      <c r="I533" s="175"/>
    </row>
    <row r="534">
      <c r="B534" s="174"/>
      <c r="C534" s="174"/>
      <c r="F534" s="174"/>
      <c r="I534" s="175"/>
    </row>
    <row r="535">
      <c r="B535" s="174"/>
      <c r="C535" s="174"/>
      <c r="F535" s="174"/>
      <c r="I535" s="175"/>
    </row>
    <row r="536">
      <c r="B536" s="174"/>
      <c r="C536" s="174"/>
      <c r="F536" s="174"/>
      <c r="I536" s="175"/>
    </row>
    <row r="537">
      <c r="B537" s="174"/>
      <c r="C537" s="174"/>
      <c r="F537" s="174"/>
      <c r="I537" s="175"/>
    </row>
    <row r="538">
      <c r="B538" s="174"/>
      <c r="C538" s="174"/>
      <c r="F538" s="174"/>
      <c r="I538" s="175"/>
    </row>
    <row r="539">
      <c r="B539" s="174"/>
      <c r="C539" s="174"/>
      <c r="F539" s="174"/>
      <c r="I539" s="175"/>
    </row>
    <row r="540">
      <c r="B540" s="174"/>
      <c r="C540" s="174"/>
      <c r="F540" s="174"/>
      <c r="I540" s="175"/>
    </row>
    <row r="541">
      <c r="B541" s="174"/>
      <c r="C541" s="174"/>
      <c r="F541" s="174"/>
      <c r="I541" s="175"/>
    </row>
    <row r="542">
      <c r="B542" s="174"/>
      <c r="C542" s="174"/>
      <c r="F542" s="174"/>
      <c r="I542" s="175"/>
    </row>
    <row r="543">
      <c r="B543" s="174"/>
      <c r="C543" s="174"/>
      <c r="F543" s="174"/>
      <c r="I543" s="175"/>
    </row>
    <row r="544">
      <c r="B544" s="174"/>
      <c r="C544" s="174"/>
      <c r="F544" s="174"/>
      <c r="I544" s="175"/>
    </row>
    <row r="545">
      <c r="B545" s="174"/>
      <c r="C545" s="174"/>
      <c r="F545" s="174"/>
      <c r="I545" s="175"/>
    </row>
    <row r="546">
      <c r="B546" s="174"/>
      <c r="C546" s="174"/>
      <c r="F546" s="174"/>
      <c r="I546" s="175"/>
    </row>
    <row r="547">
      <c r="B547" s="174"/>
      <c r="C547" s="174"/>
      <c r="F547" s="174"/>
      <c r="I547" s="175"/>
    </row>
    <row r="548">
      <c r="B548" s="174"/>
      <c r="C548" s="174"/>
      <c r="F548" s="174"/>
      <c r="I548" s="175"/>
    </row>
    <row r="549">
      <c r="B549" s="174"/>
      <c r="C549" s="174"/>
      <c r="F549" s="174"/>
      <c r="I549" s="175"/>
    </row>
    <row r="550">
      <c r="B550" s="174"/>
      <c r="C550" s="174"/>
      <c r="F550" s="174"/>
      <c r="I550" s="175"/>
    </row>
    <row r="551">
      <c r="B551" s="174"/>
      <c r="C551" s="174"/>
      <c r="F551" s="174"/>
      <c r="I551" s="175"/>
    </row>
    <row r="552">
      <c r="B552" s="174"/>
      <c r="C552" s="174"/>
      <c r="F552" s="174"/>
      <c r="I552" s="175"/>
    </row>
    <row r="553">
      <c r="B553" s="174"/>
      <c r="C553" s="174"/>
      <c r="F553" s="174"/>
      <c r="I553" s="175"/>
    </row>
    <row r="554">
      <c r="B554" s="174"/>
      <c r="C554" s="174"/>
      <c r="F554" s="174"/>
      <c r="I554" s="175"/>
    </row>
    <row r="555">
      <c r="B555" s="174"/>
      <c r="C555" s="174"/>
      <c r="F555" s="174"/>
      <c r="I555" s="175"/>
    </row>
    <row r="556">
      <c r="B556" s="174"/>
      <c r="C556" s="174"/>
      <c r="F556" s="174"/>
      <c r="I556" s="175"/>
    </row>
    <row r="557">
      <c r="B557" s="174"/>
      <c r="C557" s="174"/>
      <c r="F557" s="174"/>
      <c r="I557" s="175"/>
    </row>
    <row r="558">
      <c r="B558" s="174"/>
      <c r="C558" s="174"/>
      <c r="F558" s="174"/>
      <c r="I558" s="175"/>
    </row>
    <row r="559">
      <c r="B559" s="174"/>
      <c r="C559" s="174"/>
      <c r="F559" s="174"/>
      <c r="I559" s="175"/>
    </row>
    <row r="560">
      <c r="B560" s="174"/>
      <c r="C560" s="174"/>
      <c r="F560" s="174"/>
      <c r="I560" s="175"/>
    </row>
    <row r="561">
      <c r="B561" s="174"/>
      <c r="C561" s="174"/>
      <c r="F561" s="174"/>
      <c r="I561" s="175"/>
    </row>
    <row r="562">
      <c r="B562" s="174"/>
      <c r="C562" s="174"/>
      <c r="F562" s="174"/>
      <c r="I562" s="175"/>
    </row>
    <row r="563">
      <c r="B563" s="174"/>
      <c r="C563" s="174"/>
      <c r="F563" s="174"/>
      <c r="I563" s="175"/>
    </row>
    <row r="564">
      <c r="B564" s="174"/>
      <c r="C564" s="174"/>
      <c r="F564" s="174"/>
      <c r="I564" s="175"/>
    </row>
    <row r="565">
      <c r="B565" s="174"/>
      <c r="C565" s="174"/>
      <c r="F565" s="174"/>
      <c r="I565" s="175"/>
    </row>
    <row r="566">
      <c r="B566" s="174"/>
      <c r="C566" s="174"/>
      <c r="F566" s="174"/>
      <c r="I566" s="175"/>
    </row>
    <row r="567">
      <c r="B567" s="174"/>
      <c r="C567" s="174"/>
      <c r="F567" s="174"/>
      <c r="I567" s="175"/>
    </row>
    <row r="568">
      <c r="B568" s="174"/>
      <c r="C568" s="174"/>
      <c r="F568" s="174"/>
      <c r="I568" s="175"/>
    </row>
    <row r="569">
      <c r="B569" s="174"/>
      <c r="C569" s="174"/>
      <c r="F569" s="174"/>
      <c r="I569" s="175"/>
    </row>
    <row r="570">
      <c r="B570" s="174"/>
      <c r="C570" s="174"/>
      <c r="F570" s="174"/>
      <c r="I570" s="175"/>
    </row>
    <row r="571">
      <c r="B571" s="174"/>
      <c r="C571" s="174"/>
      <c r="F571" s="174"/>
      <c r="I571" s="175"/>
    </row>
    <row r="572">
      <c r="B572" s="174"/>
      <c r="C572" s="174"/>
      <c r="F572" s="174"/>
      <c r="I572" s="175"/>
    </row>
    <row r="573">
      <c r="B573" s="174"/>
      <c r="C573" s="174"/>
      <c r="F573" s="174"/>
      <c r="I573" s="175"/>
    </row>
    <row r="574">
      <c r="B574" s="174"/>
      <c r="C574" s="174"/>
      <c r="F574" s="174"/>
      <c r="I574" s="175"/>
    </row>
    <row r="575">
      <c r="B575" s="174"/>
      <c r="C575" s="174"/>
      <c r="F575" s="174"/>
      <c r="I575" s="175"/>
    </row>
    <row r="576">
      <c r="B576" s="174"/>
      <c r="C576" s="174"/>
      <c r="F576" s="174"/>
      <c r="I576" s="175"/>
    </row>
    <row r="577">
      <c r="B577" s="174"/>
      <c r="C577" s="174"/>
      <c r="F577" s="174"/>
      <c r="I577" s="175"/>
    </row>
    <row r="578">
      <c r="B578" s="174"/>
      <c r="C578" s="174"/>
      <c r="F578" s="174"/>
      <c r="I578" s="175"/>
    </row>
    <row r="579">
      <c r="B579" s="174"/>
      <c r="C579" s="174"/>
      <c r="F579" s="174"/>
      <c r="I579" s="175"/>
    </row>
    <row r="580">
      <c r="B580" s="174"/>
      <c r="C580" s="174"/>
      <c r="F580" s="174"/>
      <c r="I580" s="175"/>
    </row>
    <row r="581">
      <c r="B581" s="174"/>
      <c r="C581" s="174"/>
      <c r="F581" s="174"/>
      <c r="I581" s="175"/>
    </row>
    <row r="582">
      <c r="B582" s="174"/>
      <c r="C582" s="174"/>
      <c r="F582" s="174"/>
      <c r="I582" s="175"/>
    </row>
    <row r="583">
      <c r="B583" s="174"/>
      <c r="C583" s="174"/>
      <c r="F583" s="174"/>
      <c r="I583" s="175"/>
    </row>
    <row r="584">
      <c r="B584" s="174"/>
      <c r="C584" s="174"/>
      <c r="F584" s="174"/>
      <c r="I584" s="175"/>
    </row>
    <row r="585">
      <c r="B585" s="174"/>
      <c r="C585" s="174"/>
      <c r="F585" s="174"/>
      <c r="I585" s="175"/>
    </row>
    <row r="586">
      <c r="B586" s="174"/>
      <c r="C586" s="174"/>
      <c r="F586" s="174"/>
      <c r="I586" s="175"/>
    </row>
    <row r="587">
      <c r="B587" s="174"/>
      <c r="C587" s="174"/>
      <c r="F587" s="174"/>
      <c r="I587" s="175"/>
    </row>
    <row r="588">
      <c r="B588" s="174"/>
      <c r="C588" s="174"/>
      <c r="F588" s="174"/>
      <c r="I588" s="175"/>
    </row>
    <row r="589">
      <c r="B589" s="174"/>
      <c r="C589" s="174"/>
      <c r="F589" s="174"/>
      <c r="I589" s="175"/>
    </row>
    <row r="590">
      <c r="B590" s="174"/>
      <c r="C590" s="174"/>
      <c r="F590" s="174"/>
      <c r="I590" s="175"/>
    </row>
    <row r="591">
      <c r="B591" s="174"/>
      <c r="C591" s="174"/>
      <c r="F591" s="174"/>
      <c r="I591" s="175"/>
    </row>
    <row r="592">
      <c r="B592" s="174"/>
      <c r="C592" s="174"/>
      <c r="F592" s="174"/>
      <c r="I592" s="175"/>
    </row>
    <row r="593">
      <c r="B593" s="174"/>
      <c r="C593" s="174"/>
      <c r="F593" s="174"/>
      <c r="I593" s="175"/>
    </row>
    <row r="594">
      <c r="B594" s="174"/>
      <c r="C594" s="174"/>
      <c r="F594" s="174"/>
      <c r="I594" s="175"/>
    </row>
    <row r="595">
      <c r="B595" s="174"/>
      <c r="C595" s="174"/>
      <c r="F595" s="174"/>
      <c r="I595" s="175"/>
    </row>
    <row r="596">
      <c r="B596" s="174"/>
      <c r="C596" s="174"/>
      <c r="F596" s="174"/>
      <c r="I596" s="175"/>
    </row>
    <row r="597">
      <c r="B597" s="174"/>
      <c r="C597" s="174"/>
      <c r="F597" s="174"/>
      <c r="I597" s="175"/>
    </row>
    <row r="598">
      <c r="B598" s="174"/>
      <c r="C598" s="174"/>
      <c r="F598" s="174"/>
      <c r="I598" s="175"/>
    </row>
    <row r="599">
      <c r="B599" s="174"/>
      <c r="C599" s="174"/>
      <c r="F599" s="174"/>
      <c r="I599" s="175"/>
    </row>
    <row r="600">
      <c r="B600" s="174"/>
      <c r="C600" s="174"/>
      <c r="F600" s="174"/>
      <c r="I600" s="175"/>
    </row>
    <row r="601">
      <c r="B601" s="174"/>
      <c r="C601" s="174"/>
      <c r="F601" s="174"/>
      <c r="I601" s="175"/>
    </row>
    <row r="602">
      <c r="B602" s="174"/>
      <c r="C602" s="174"/>
      <c r="F602" s="174"/>
      <c r="I602" s="175"/>
    </row>
    <row r="603">
      <c r="B603" s="174"/>
      <c r="C603" s="174"/>
      <c r="F603" s="174"/>
      <c r="I603" s="175"/>
    </row>
    <row r="604">
      <c r="B604" s="174"/>
      <c r="C604" s="174"/>
      <c r="F604" s="174"/>
      <c r="I604" s="175"/>
    </row>
    <row r="605">
      <c r="B605" s="174"/>
      <c r="C605" s="174"/>
      <c r="F605" s="174"/>
      <c r="I605" s="175"/>
    </row>
    <row r="606">
      <c r="B606" s="174"/>
      <c r="C606" s="174"/>
      <c r="F606" s="174"/>
      <c r="I606" s="175"/>
    </row>
    <row r="607">
      <c r="B607" s="174"/>
      <c r="C607" s="174"/>
      <c r="F607" s="174"/>
      <c r="I607" s="175"/>
    </row>
    <row r="608">
      <c r="B608" s="174"/>
      <c r="C608" s="174"/>
      <c r="F608" s="174"/>
      <c r="I608" s="175"/>
    </row>
    <row r="609">
      <c r="B609" s="174"/>
      <c r="C609" s="174"/>
      <c r="F609" s="174"/>
      <c r="I609" s="175"/>
    </row>
    <row r="610">
      <c r="B610" s="174"/>
      <c r="C610" s="174"/>
      <c r="F610" s="174"/>
      <c r="I610" s="175"/>
    </row>
    <row r="611">
      <c r="B611" s="174"/>
      <c r="C611" s="174"/>
      <c r="F611" s="174"/>
      <c r="I611" s="175"/>
    </row>
    <row r="612">
      <c r="B612" s="174"/>
      <c r="C612" s="174"/>
      <c r="F612" s="174"/>
      <c r="I612" s="175"/>
    </row>
    <row r="613">
      <c r="B613" s="174"/>
      <c r="C613" s="174"/>
      <c r="F613" s="174"/>
      <c r="I613" s="175"/>
    </row>
    <row r="614">
      <c r="B614" s="174"/>
      <c r="C614" s="174"/>
      <c r="F614" s="174"/>
      <c r="I614" s="175"/>
    </row>
    <row r="615">
      <c r="B615" s="174"/>
      <c r="C615" s="174"/>
      <c r="F615" s="174"/>
      <c r="I615" s="175"/>
    </row>
    <row r="616">
      <c r="B616" s="174"/>
      <c r="C616" s="174"/>
      <c r="F616" s="174"/>
      <c r="I616" s="175"/>
    </row>
    <row r="617">
      <c r="B617" s="174"/>
      <c r="C617" s="174"/>
      <c r="F617" s="174"/>
      <c r="I617" s="175"/>
    </row>
    <row r="618">
      <c r="B618" s="174"/>
      <c r="C618" s="174"/>
      <c r="F618" s="174"/>
      <c r="I618" s="175"/>
    </row>
    <row r="619">
      <c r="B619" s="174"/>
      <c r="C619" s="174"/>
      <c r="F619" s="174"/>
      <c r="I619" s="175"/>
    </row>
    <row r="620">
      <c r="B620" s="174"/>
      <c r="C620" s="174"/>
      <c r="F620" s="174"/>
      <c r="I620" s="175"/>
    </row>
    <row r="621">
      <c r="B621" s="174"/>
      <c r="C621" s="174"/>
      <c r="F621" s="174"/>
      <c r="I621" s="175"/>
    </row>
    <row r="622">
      <c r="B622" s="174"/>
      <c r="C622" s="174"/>
      <c r="F622" s="174"/>
      <c r="I622" s="175"/>
    </row>
    <row r="623">
      <c r="B623" s="174"/>
      <c r="C623" s="174"/>
      <c r="F623" s="174"/>
      <c r="I623" s="175"/>
    </row>
    <row r="624">
      <c r="B624" s="174"/>
      <c r="C624" s="174"/>
      <c r="F624" s="174"/>
      <c r="I624" s="175"/>
    </row>
    <row r="625">
      <c r="B625" s="174"/>
      <c r="C625" s="174"/>
      <c r="F625" s="174"/>
      <c r="I625" s="175"/>
    </row>
    <row r="626">
      <c r="B626" s="174"/>
      <c r="C626" s="174"/>
      <c r="F626" s="174"/>
      <c r="I626" s="175"/>
    </row>
    <row r="627">
      <c r="B627" s="174"/>
      <c r="C627" s="174"/>
      <c r="F627" s="174"/>
      <c r="I627" s="175"/>
    </row>
    <row r="628">
      <c r="B628" s="174"/>
      <c r="C628" s="174"/>
      <c r="F628" s="174"/>
      <c r="I628" s="175"/>
    </row>
    <row r="629">
      <c r="B629" s="174"/>
      <c r="C629" s="174"/>
      <c r="F629" s="174"/>
      <c r="I629" s="175"/>
    </row>
    <row r="630">
      <c r="B630" s="174"/>
      <c r="C630" s="174"/>
      <c r="F630" s="174"/>
      <c r="I630" s="175"/>
    </row>
    <row r="631">
      <c r="B631" s="174"/>
      <c r="C631" s="174"/>
      <c r="F631" s="174"/>
      <c r="I631" s="175"/>
    </row>
    <row r="632">
      <c r="B632" s="174"/>
      <c r="C632" s="174"/>
      <c r="F632" s="174"/>
      <c r="I632" s="175"/>
    </row>
    <row r="633">
      <c r="B633" s="174"/>
      <c r="C633" s="174"/>
      <c r="F633" s="174"/>
      <c r="I633" s="175"/>
    </row>
    <row r="634">
      <c r="B634" s="174"/>
      <c r="C634" s="174"/>
      <c r="F634" s="174"/>
      <c r="I634" s="175"/>
    </row>
    <row r="635">
      <c r="B635" s="174"/>
      <c r="C635" s="174"/>
      <c r="F635" s="174"/>
      <c r="I635" s="175"/>
    </row>
    <row r="636">
      <c r="B636" s="174"/>
      <c r="C636" s="174"/>
      <c r="F636" s="174"/>
      <c r="I636" s="175"/>
    </row>
    <row r="637">
      <c r="B637" s="174"/>
      <c r="C637" s="174"/>
      <c r="F637" s="174"/>
      <c r="I637" s="175"/>
    </row>
    <row r="638">
      <c r="B638" s="174"/>
      <c r="C638" s="174"/>
      <c r="F638" s="174"/>
      <c r="I638" s="175"/>
    </row>
    <row r="639">
      <c r="B639" s="174"/>
      <c r="C639" s="174"/>
      <c r="F639" s="174"/>
      <c r="I639" s="175"/>
    </row>
    <row r="640">
      <c r="B640" s="174"/>
      <c r="C640" s="174"/>
      <c r="F640" s="174"/>
      <c r="I640" s="175"/>
    </row>
    <row r="641">
      <c r="B641" s="174"/>
      <c r="C641" s="174"/>
      <c r="F641" s="174"/>
      <c r="I641" s="175"/>
    </row>
    <row r="642">
      <c r="B642" s="174"/>
      <c r="C642" s="174"/>
      <c r="F642" s="174"/>
      <c r="I642" s="175"/>
    </row>
    <row r="643">
      <c r="B643" s="174"/>
      <c r="C643" s="174"/>
      <c r="F643" s="174"/>
      <c r="I643" s="175"/>
    </row>
    <row r="644">
      <c r="B644" s="174"/>
      <c r="C644" s="174"/>
      <c r="F644" s="174"/>
      <c r="I644" s="175"/>
    </row>
    <row r="645">
      <c r="B645" s="174"/>
      <c r="C645" s="174"/>
      <c r="F645" s="174"/>
      <c r="I645" s="175"/>
    </row>
    <row r="646">
      <c r="B646" s="174"/>
      <c r="C646" s="174"/>
      <c r="F646" s="174"/>
      <c r="I646" s="175"/>
    </row>
    <row r="647">
      <c r="B647" s="174"/>
      <c r="C647" s="174"/>
      <c r="F647" s="174"/>
      <c r="I647" s="175"/>
    </row>
    <row r="648">
      <c r="B648" s="174"/>
      <c r="C648" s="174"/>
      <c r="F648" s="174"/>
      <c r="I648" s="175"/>
    </row>
    <row r="649">
      <c r="B649" s="174"/>
      <c r="C649" s="174"/>
      <c r="F649" s="174"/>
      <c r="I649" s="175"/>
    </row>
    <row r="650">
      <c r="B650" s="174"/>
      <c r="C650" s="174"/>
      <c r="F650" s="174"/>
      <c r="I650" s="175"/>
    </row>
    <row r="651">
      <c r="B651" s="174"/>
      <c r="C651" s="174"/>
      <c r="F651" s="174"/>
      <c r="I651" s="175"/>
    </row>
    <row r="652">
      <c r="B652" s="174"/>
      <c r="C652" s="174"/>
      <c r="F652" s="174"/>
      <c r="I652" s="175"/>
    </row>
    <row r="653">
      <c r="B653" s="174"/>
      <c r="C653" s="174"/>
      <c r="F653" s="174"/>
      <c r="I653" s="175"/>
    </row>
    <row r="654">
      <c r="B654" s="174"/>
      <c r="C654" s="174"/>
      <c r="F654" s="174"/>
      <c r="I654" s="175"/>
    </row>
    <row r="655">
      <c r="B655" s="174"/>
      <c r="C655" s="174"/>
      <c r="F655" s="174"/>
      <c r="I655" s="175"/>
    </row>
    <row r="656">
      <c r="B656" s="174"/>
      <c r="C656" s="174"/>
      <c r="F656" s="174"/>
      <c r="I656" s="175"/>
    </row>
    <row r="657">
      <c r="B657" s="174"/>
      <c r="C657" s="174"/>
      <c r="F657" s="174"/>
      <c r="I657" s="175"/>
    </row>
    <row r="658">
      <c r="B658" s="174"/>
      <c r="C658" s="174"/>
      <c r="F658" s="174"/>
      <c r="I658" s="175"/>
    </row>
    <row r="659">
      <c r="B659" s="174"/>
      <c r="C659" s="174"/>
      <c r="F659" s="174"/>
      <c r="I659" s="175"/>
    </row>
    <row r="660">
      <c r="B660" s="174"/>
      <c r="C660" s="174"/>
      <c r="F660" s="174"/>
      <c r="I660" s="175"/>
    </row>
    <row r="661">
      <c r="B661" s="174"/>
      <c r="C661" s="174"/>
      <c r="F661" s="174"/>
      <c r="I661" s="175"/>
    </row>
    <row r="662">
      <c r="B662" s="174"/>
      <c r="C662" s="174"/>
      <c r="F662" s="174"/>
      <c r="I662" s="175"/>
    </row>
    <row r="663">
      <c r="B663" s="174"/>
      <c r="C663" s="174"/>
      <c r="F663" s="174"/>
      <c r="I663" s="175"/>
    </row>
    <row r="664">
      <c r="B664" s="174"/>
      <c r="C664" s="174"/>
      <c r="F664" s="174"/>
      <c r="I664" s="175"/>
    </row>
    <row r="665">
      <c r="B665" s="174"/>
      <c r="C665" s="174"/>
      <c r="F665" s="174"/>
      <c r="I665" s="175"/>
    </row>
    <row r="666">
      <c r="B666" s="174"/>
      <c r="C666" s="174"/>
      <c r="F666" s="174"/>
      <c r="I666" s="175"/>
    </row>
    <row r="667">
      <c r="B667" s="174"/>
      <c r="C667" s="174"/>
      <c r="F667" s="174"/>
      <c r="I667" s="175"/>
    </row>
    <row r="668">
      <c r="B668" s="174"/>
      <c r="C668" s="174"/>
      <c r="F668" s="174"/>
      <c r="I668" s="175"/>
    </row>
    <row r="669">
      <c r="B669" s="174"/>
      <c r="C669" s="174"/>
      <c r="F669" s="174"/>
      <c r="I669" s="175"/>
    </row>
    <row r="670">
      <c r="B670" s="174"/>
      <c r="C670" s="174"/>
      <c r="F670" s="174"/>
      <c r="I670" s="175"/>
    </row>
    <row r="671">
      <c r="B671" s="174"/>
      <c r="C671" s="174"/>
      <c r="F671" s="174"/>
      <c r="I671" s="175"/>
    </row>
    <row r="672">
      <c r="B672" s="174"/>
      <c r="C672" s="174"/>
      <c r="F672" s="174"/>
      <c r="I672" s="175"/>
    </row>
    <row r="673">
      <c r="B673" s="174"/>
      <c r="C673" s="174"/>
      <c r="F673" s="174"/>
      <c r="I673" s="175"/>
    </row>
    <row r="674">
      <c r="B674" s="174"/>
      <c r="C674" s="174"/>
      <c r="F674" s="174"/>
      <c r="I674" s="175"/>
    </row>
    <row r="675">
      <c r="B675" s="174"/>
      <c r="C675" s="174"/>
      <c r="F675" s="174"/>
      <c r="I675" s="175"/>
    </row>
    <row r="676">
      <c r="B676" s="174"/>
      <c r="C676" s="174"/>
      <c r="F676" s="174"/>
      <c r="I676" s="175"/>
    </row>
    <row r="677">
      <c r="B677" s="174"/>
      <c r="C677" s="174"/>
      <c r="F677" s="174"/>
      <c r="I677" s="175"/>
    </row>
    <row r="678">
      <c r="B678" s="174"/>
      <c r="C678" s="174"/>
      <c r="F678" s="174"/>
      <c r="I678" s="175"/>
    </row>
    <row r="679">
      <c r="B679" s="174"/>
      <c r="C679" s="174"/>
      <c r="F679" s="174"/>
      <c r="I679" s="175"/>
    </row>
    <row r="680">
      <c r="B680" s="174"/>
      <c r="C680" s="174"/>
      <c r="F680" s="174"/>
      <c r="I680" s="175"/>
    </row>
    <row r="681">
      <c r="B681" s="174"/>
      <c r="C681" s="174"/>
      <c r="F681" s="174"/>
      <c r="I681" s="175"/>
    </row>
    <row r="682">
      <c r="B682" s="174"/>
      <c r="C682" s="174"/>
      <c r="F682" s="174"/>
      <c r="I682" s="175"/>
    </row>
    <row r="683">
      <c r="B683" s="174"/>
      <c r="C683" s="174"/>
      <c r="F683" s="174"/>
      <c r="I683" s="175"/>
    </row>
    <row r="684">
      <c r="B684" s="174"/>
      <c r="C684" s="174"/>
      <c r="F684" s="174"/>
      <c r="I684" s="175"/>
    </row>
    <row r="685">
      <c r="B685" s="174"/>
      <c r="C685" s="174"/>
      <c r="F685" s="174"/>
      <c r="I685" s="175"/>
    </row>
    <row r="686">
      <c r="B686" s="174"/>
      <c r="C686" s="174"/>
      <c r="F686" s="174"/>
      <c r="I686" s="175"/>
    </row>
    <row r="687">
      <c r="B687" s="174"/>
      <c r="C687" s="174"/>
      <c r="F687" s="174"/>
      <c r="I687" s="175"/>
    </row>
    <row r="688">
      <c r="B688" s="174"/>
      <c r="C688" s="174"/>
      <c r="F688" s="174"/>
      <c r="I688" s="175"/>
    </row>
    <row r="689">
      <c r="B689" s="174"/>
      <c r="C689" s="174"/>
      <c r="F689" s="174"/>
      <c r="I689" s="175"/>
    </row>
    <row r="690">
      <c r="B690" s="174"/>
      <c r="C690" s="174"/>
      <c r="F690" s="174"/>
      <c r="I690" s="175"/>
    </row>
    <row r="691">
      <c r="B691" s="174"/>
      <c r="C691" s="174"/>
      <c r="F691" s="174"/>
      <c r="I691" s="175"/>
    </row>
    <row r="692">
      <c r="B692" s="174"/>
      <c r="C692" s="174"/>
      <c r="F692" s="174"/>
      <c r="I692" s="175"/>
    </row>
    <row r="693">
      <c r="B693" s="174"/>
      <c r="C693" s="174"/>
      <c r="F693" s="174"/>
      <c r="I693" s="175"/>
    </row>
    <row r="694">
      <c r="B694" s="174"/>
      <c r="C694" s="174"/>
      <c r="F694" s="174"/>
      <c r="I694" s="175"/>
    </row>
    <row r="695">
      <c r="B695" s="174"/>
      <c r="C695" s="174"/>
      <c r="F695" s="174"/>
      <c r="I695" s="175"/>
    </row>
    <row r="696">
      <c r="B696" s="174"/>
      <c r="C696" s="174"/>
      <c r="F696" s="174"/>
      <c r="I696" s="175"/>
    </row>
    <row r="697">
      <c r="B697" s="174"/>
      <c r="C697" s="174"/>
      <c r="F697" s="174"/>
      <c r="I697" s="175"/>
    </row>
    <row r="698">
      <c r="B698" s="174"/>
      <c r="C698" s="174"/>
      <c r="F698" s="174"/>
      <c r="I698" s="175"/>
    </row>
    <row r="699">
      <c r="B699" s="174"/>
      <c r="C699" s="174"/>
      <c r="F699" s="174"/>
      <c r="I699" s="175"/>
    </row>
    <row r="700">
      <c r="B700" s="174"/>
      <c r="C700" s="174"/>
      <c r="F700" s="174"/>
      <c r="I700" s="175"/>
    </row>
    <row r="701">
      <c r="B701" s="174"/>
      <c r="C701" s="174"/>
      <c r="F701" s="174"/>
      <c r="I701" s="175"/>
    </row>
    <row r="702">
      <c r="B702" s="174"/>
      <c r="C702" s="174"/>
      <c r="F702" s="174"/>
      <c r="I702" s="175"/>
    </row>
    <row r="703">
      <c r="B703" s="174"/>
      <c r="C703" s="174"/>
      <c r="F703" s="174"/>
      <c r="I703" s="175"/>
    </row>
    <row r="704">
      <c r="B704" s="174"/>
      <c r="C704" s="174"/>
      <c r="F704" s="174"/>
      <c r="I704" s="175"/>
    </row>
    <row r="705">
      <c r="B705" s="174"/>
      <c r="C705" s="174"/>
      <c r="F705" s="174"/>
      <c r="I705" s="175"/>
    </row>
    <row r="706">
      <c r="B706" s="174"/>
      <c r="C706" s="174"/>
      <c r="F706" s="174"/>
      <c r="I706" s="175"/>
    </row>
    <row r="707">
      <c r="B707" s="174"/>
      <c r="C707" s="174"/>
      <c r="F707" s="174"/>
      <c r="I707" s="175"/>
    </row>
    <row r="708">
      <c r="B708" s="174"/>
      <c r="C708" s="174"/>
      <c r="F708" s="174"/>
      <c r="I708" s="175"/>
    </row>
    <row r="709">
      <c r="B709" s="174"/>
      <c r="C709" s="174"/>
      <c r="F709" s="174"/>
      <c r="I709" s="175"/>
    </row>
    <row r="710">
      <c r="B710" s="174"/>
      <c r="C710" s="174"/>
      <c r="F710" s="174"/>
      <c r="I710" s="175"/>
    </row>
    <row r="711">
      <c r="B711" s="174"/>
      <c r="C711" s="174"/>
      <c r="F711" s="174"/>
      <c r="I711" s="175"/>
    </row>
    <row r="712">
      <c r="B712" s="174"/>
      <c r="C712" s="174"/>
      <c r="F712" s="174"/>
      <c r="I712" s="175"/>
    </row>
    <row r="713">
      <c r="B713" s="174"/>
      <c r="C713" s="174"/>
      <c r="F713" s="174"/>
      <c r="I713" s="175"/>
    </row>
    <row r="714">
      <c r="B714" s="174"/>
      <c r="C714" s="174"/>
      <c r="F714" s="174"/>
      <c r="I714" s="175"/>
    </row>
    <row r="715">
      <c r="B715" s="174"/>
      <c r="C715" s="174"/>
      <c r="F715" s="174"/>
      <c r="I715" s="175"/>
    </row>
    <row r="716">
      <c r="B716" s="174"/>
      <c r="C716" s="174"/>
      <c r="F716" s="174"/>
      <c r="I716" s="175"/>
    </row>
    <row r="717">
      <c r="B717" s="174"/>
      <c r="C717" s="174"/>
      <c r="F717" s="174"/>
      <c r="I717" s="175"/>
    </row>
    <row r="718">
      <c r="B718" s="174"/>
      <c r="C718" s="174"/>
      <c r="F718" s="174"/>
      <c r="I718" s="175"/>
    </row>
    <row r="719">
      <c r="B719" s="174"/>
      <c r="C719" s="174"/>
      <c r="F719" s="174"/>
      <c r="I719" s="175"/>
    </row>
    <row r="720">
      <c r="B720" s="174"/>
      <c r="C720" s="174"/>
      <c r="F720" s="174"/>
      <c r="I720" s="175"/>
    </row>
    <row r="721">
      <c r="B721" s="174"/>
      <c r="C721" s="174"/>
      <c r="F721" s="174"/>
      <c r="I721" s="175"/>
    </row>
    <row r="722">
      <c r="B722" s="174"/>
      <c r="C722" s="174"/>
      <c r="F722" s="174"/>
      <c r="I722" s="175"/>
    </row>
    <row r="723">
      <c r="B723" s="174"/>
      <c r="C723" s="174"/>
      <c r="F723" s="174"/>
      <c r="I723" s="175"/>
    </row>
    <row r="724">
      <c r="B724" s="174"/>
      <c r="C724" s="174"/>
      <c r="F724" s="174"/>
      <c r="I724" s="175"/>
    </row>
    <row r="725">
      <c r="B725" s="174"/>
      <c r="C725" s="174"/>
      <c r="F725" s="174"/>
      <c r="I725" s="175"/>
    </row>
    <row r="726">
      <c r="B726" s="174"/>
      <c r="C726" s="174"/>
      <c r="F726" s="174"/>
      <c r="I726" s="175"/>
    </row>
    <row r="727">
      <c r="B727" s="174"/>
      <c r="C727" s="174"/>
      <c r="F727" s="174"/>
      <c r="I727" s="175"/>
    </row>
    <row r="728">
      <c r="B728" s="174"/>
      <c r="C728" s="174"/>
      <c r="F728" s="174"/>
      <c r="I728" s="175"/>
    </row>
    <row r="729">
      <c r="B729" s="174"/>
      <c r="C729" s="174"/>
      <c r="F729" s="174"/>
      <c r="I729" s="175"/>
    </row>
    <row r="730">
      <c r="B730" s="174"/>
      <c r="C730" s="174"/>
      <c r="F730" s="174"/>
      <c r="I730" s="175"/>
    </row>
    <row r="731">
      <c r="B731" s="174"/>
      <c r="C731" s="174"/>
      <c r="F731" s="174"/>
      <c r="I731" s="175"/>
    </row>
    <row r="732">
      <c r="B732" s="174"/>
      <c r="C732" s="174"/>
      <c r="F732" s="174"/>
      <c r="I732" s="175"/>
    </row>
    <row r="733">
      <c r="B733" s="174"/>
      <c r="C733" s="174"/>
      <c r="F733" s="174"/>
      <c r="I733" s="175"/>
    </row>
    <row r="734">
      <c r="B734" s="174"/>
      <c r="C734" s="174"/>
      <c r="F734" s="174"/>
      <c r="I734" s="175"/>
    </row>
    <row r="735">
      <c r="B735" s="174"/>
      <c r="C735" s="174"/>
      <c r="F735" s="174"/>
      <c r="I735" s="175"/>
    </row>
    <row r="736">
      <c r="B736" s="174"/>
      <c r="C736" s="174"/>
      <c r="F736" s="174"/>
      <c r="I736" s="175"/>
    </row>
    <row r="737">
      <c r="B737" s="174"/>
      <c r="C737" s="174"/>
      <c r="F737" s="174"/>
      <c r="I737" s="175"/>
    </row>
    <row r="738">
      <c r="B738" s="174"/>
      <c r="C738" s="174"/>
      <c r="F738" s="174"/>
      <c r="I738" s="175"/>
    </row>
    <row r="739">
      <c r="B739" s="174"/>
      <c r="C739" s="174"/>
      <c r="F739" s="174"/>
      <c r="I739" s="175"/>
    </row>
    <row r="740">
      <c r="B740" s="174"/>
      <c r="C740" s="174"/>
      <c r="F740" s="174"/>
      <c r="I740" s="175"/>
    </row>
    <row r="741">
      <c r="B741" s="174"/>
      <c r="C741" s="174"/>
      <c r="F741" s="174"/>
      <c r="I741" s="175"/>
    </row>
    <row r="742">
      <c r="B742" s="174"/>
      <c r="C742" s="174"/>
      <c r="F742" s="174"/>
      <c r="I742" s="175"/>
    </row>
    <row r="743">
      <c r="B743" s="174"/>
      <c r="C743" s="174"/>
      <c r="F743" s="174"/>
      <c r="I743" s="175"/>
    </row>
    <row r="744">
      <c r="B744" s="174"/>
      <c r="C744" s="174"/>
      <c r="F744" s="174"/>
      <c r="I744" s="175"/>
    </row>
    <row r="745">
      <c r="B745" s="174"/>
      <c r="C745" s="174"/>
      <c r="F745" s="174"/>
      <c r="I745" s="175"/>
    </row>
    <row r="746">
      <c r="B746" s="174"/>
      <c r="C746" s="174"/>
      <c r="F746" s="174"/>
      <c r="I746" s="175"/>
    </row>
    <row r="747">
      <c r="B747" s="174"/>
      <c r="C747" s="174"/>
      <c r="F747" s="174"/>
      <c r="I747" s="175"/>
    </row>
    <row r="748">
      <c r="B748" s="174"/>
      <c r="C748" s="174"/>
      <c r="F748" s="174"/>
      <c r="I748" s="175"/>
    </row>
    <row r="749">
      <c r="B749" s="174"/>
      <c r="C749" s="174"/>
      <c r="F749" s="174"/>
      <c r="I749" s="175"/>
    </row>
    <row r="750">
      <c r="B750" s="174"/>
      <c r="C750" s="174"/>
      <c r="F750" s="174"/>
      <c r="I750" s="175"/>
    </row>
    <row r="751">
      <c r="B751" s="174"/>
      <c r="C751" s="174"/>
      <c r="F751" s="174"/>
      <c r="I751" s="175"/>
    </row>
    <row r="752">
      <c r="B752" s="174"/>
      <c r="C752" s="174"/>
      <c r="F752" s="174"/>
      <c r="I752" s="175"/>
    </row>
    <row r="753">
      <c r="B753" s="174"/>
      <c r="C753" s="174"/>
      <c r="F753" s="174"/>
      <c r="I753" s="175"/>
    </row>
    <row r="754">
      <c r="B754" s="174"/>
      <c r="C754" s="174"/>
      <c r="F754" s="174"/>
      <c r="I754" s="175"/>
    </row>
    <row r="755">
      <c r="B755" s="174"/>
      <c r="C755" s="174"/>
      <c r="F755" s="174"/>
      <c r="I755" s="175"/>
    </row>
    <row r="756">
      <c r="B756" s="174"/>
      <c r="C756" s="174"/>
      <c r="F756" s="174"/>
      <c r="I756" s="175"/>
    </row>
    <row r="757">
      <c r="B757" s="174"/>
      <c r="C757" s="174"/>
      <c r="F757" s="174"/>
      <c r="I757" s="175"/>
    </row>
    <row r="758">
      <c r="B758" s="174"/>
      <c r="C758" s="174"/>
      <c r="F758" s="174"/>
      <c r="I758" s="175"/>
    </row>
    <row r="759">
      <c r="B759" s="174"/>
      <c r="C759" s="174"/>
      <c r="F759" s="174"/>
      <c r="I759" s="175"/>
    </row>
    <row r="760">
      <c r="B760" s="174"/>
      <c r="C760" s="174"/>
      <c r="F760" s="174"/>
      <c r="I760" s="175"/>
    </row>
    <row r="761">
      <c r="B761" s="174"/>
      <c r="C761" s="174"/>
      <c r="F761" s="174"/>
      <c r="I761" s="175"/>
    </row>
    <row r="762">
      <c r="B762" s="174"/>
      <c r="C762" s="174"/>
      <c r="F762" s="174"/>
      <c r="I762" s="175"/>
    </row>
    <row r="763">
      <c r="B763" s="174"/>
      <c r="C763" s="174"/>
      <c r="F763" s="174"/>
      <c r="I763" s="175"/>
    </row>
    <row r="764">
      <c r="B764" s="174"/>
      <c r="C764" s="174"/>
      <c r="F764" s="174"/>
      <c r="I764" s="175"/>
    </row>
    <row r="765">
      <c r="B765" s="174"/>
      <c r="C765" s="174"/>
      <c r="F765" s="174"/>
      <c r="I765" s="175"/>
    </row>
    <row r="766">
      <c r="B766" s="174"/>
      <c r="C766" s="174"/>
      <c r="F766" s="174"/>
      <c r="I766" s="175"/>
    </row>
    <row r="767">
      <c r="B767" s="174"/>
      <c r="C767" s="174"/>
      <c r="F767" s="174"/>
      <c r="I767" s="175"/>
    </row>
    <row r="768">
      <c r="B768" s="174"/>
      <c r="C768" s="174"/>
      <c r="F768" s="174"/>
      <c r="I768" s="175"/>
    </row>
    <row r="769">
      <c r="B769" s="174"/>
      <c r="C769" s="174"/>
      <c r="F769" s="174"/>
      <c r="I769" s="175"/>
    </row>
    <row r="770">
      <c r="B770" s="174"/>
      <c r="C770" s="174"/>
      <c r="F770" s="174"/>
      <c r="I770" s="175"/>
    </row>
    <row r="771">
      <c r="B771" s="174"/>
      <c r="C771" s="174"/>
      <c r="F771" s="174"/>
      <c r="I771" s="175"/>
    </row>
    <row r="772">
      <c r="B772" s="174"/>
      <c r="C772" s="174"/>
      <c r="F772" s="174"/>
      <c r="I772" s="175"/>
    </row>
    <row r="773">
      <c r="B773" s="174"/>
      <c r="C773" s="174"/>
      <c r="F773" s="174"/>
      <c r="I773" s="175"/>
    </row>
    <row r="774">
      <c r="B774" s="174"/>
      <c r="C774" s="174"/>
      <c r="F774" s="174"/>
      <c r="I774" s="175"/>
    </row>
    <row r="775">
      <c r="B775" s="174"/>
      <c r="C775" s="174"/>
      <c r="F775" s="174"/>
      <c r="I775" s="175"/>
    </row>
    <row r="776">
      <c r="B776" s="174"/>
      <c r="C776" s="174"/>
      <c r="F776" s="174"/>
      <c r="I776" s="175"/>
    </row>
    <row r="777">
      <c r="B777" s="174"/>
      <c r="C777" s="174"/>
      <c r="F777" s="174"/>
      <c r="I777" s="175"/>
    </row>
    <row r="778">
      <c r="B778" s="174"/>
      <c r="C778" s="174"/>
      <c r="F778" s="174"/>
      <c r="I778" s="175"/>
    </row>
    <row r="779">
      <c r="B779" s="174"/>
      <c r="C779" s="174"/>
      <c r="F779" s="174"/>
      <c r="I779" s="175"/>
    </row>
    <row r="780">
      <c r="B780" s="174"/>
      <c r="C780" s="174"/>
      <c r="F780" s="174"/>
      <c r="I780" s="175"/>
    </row>
    <row r="781">
      <c r="B781" s="174"/>
      <c r="C781" s="174"/>
      <c r="F781" s="174"/>
      <c r="I781" s="175"/>
    </row>
    <row r="782">
      <c r="B782" s="174"/>
      <c r="C782" s="174"/>
      <c r="F782" s="174"/>
      <c r="I782" s="175"/>
    </row>
    <row r="783">
      <c r="B783" s="174"/>
      <c r="C783" s="174"/>
      <c r="F783" s="174"/>
      <c r="I783" s="175"/>
    </row>
    <row r="784">
      <c r="B784" s="174"/>
      <c r="C784" s="174"/>
      <c r="F784" s="174"/>
      <c r="I784" s="175"/>
    </row>
    <row r="785">
      <c r="B785" s="174"/>
      <c r="C785" s="174"/>
      <c r="F785" s="174"/>
      <c r="I785" s="175"/>
    </row>
    <row r="786">
      <c r="B786" s="174"/>
      <c r="C786" s="174"/>
      <c r="F786" s="174"/>
      <c r="I786" s="175"/>
    </row>
    <row r="787">
      <c r="B787" s="174"/>
      <c r="C787" s="174"/>
      <c r="F787" s="174"/>
      <c r="I787" s="175"/>
    </row>
    <row r="788">
      <c r="B788" s="174"/>
      <c r="C788" s="174"/>
      <c r="F788" s="174"/>
      <c r="I788" s="175"/>
    </row>
    <row r="789">
      <c r="B789" s="174"/>
      <c r="C789" s="174"/>
      <c r="F789" s="174"/>
      <c r="I789" s="175"/>
    </row>
    <row r="790">
      <c r="B790" s="174"/>
      <c r="C790" s="174"/>
      <c r="F790" s="174"/>
      <c r="I790" s="175"/>
    </row>
    <row r="791">
      <c r="B791" s="174"/>
      <c r="C791" s="174"/>
      <c r="F791" s="174"/>
      <c r="I791" s="175"/>
    </row>
    <row r="792">
      <c r="B792" s="174"/>
      <c r="C792" s="174"/>
      <c r="F792" s="174"/>
      <c r="I792" s="175"/>
    </row>
    <row r="793">
      <c r="B793" s="174"/>
      <c r="C793" s="174"/>
      <c r="F793" s="174"/>
      <c r="I793" s="175"/>
    </row>
    <row r="794">
      <c r="B794" s="174"/>
      <c r="C794" s="174"/>
      <c r="F794" s="174"/>
      <c r="I794" s="175"/>
    </row>
    <row r="795">
      <c r="B795" s="174"/>
      <c r="C795" s="174"/>
      <c r="F795" s="174"/>
      <c r="I795" s="175"/>
    </row>
    <row r="796">
      <c r="B796" s="174"/>
      <c r="C796" s="174"/>
      <c r="F796" s="174"/>
      <c r="I796" s="175"/>
    </row>
    <row r="797">
      <c r="B797" s="174"/>
      <c r="C797" s="174"/>
      <c r="F797" s="174"/>
      <c r="I797" s="175"/>
    </row>
    <row r="798">
      <c r="B798" s="174"/>
      <c r="C798" s="174"/>
      <c r="F798" s="174"/>
      <c r="I798" s="175"/>
    </row>
    <row r="799">
      <c r="B799" s="174"/>
      <c r="C799" s="174"/>
      <c r="F799" s="174"/>
      <c r="I799" s="175"/>
    </row>
    <row r="800">
      <c r="B800" s="174"/>
      <c r="C800" s="174"/>
      <c r="F800" s="174"/>
      <c r="I800" s="175"/>
    </row>
    <row r="801">
      <c r="B801" s="174"/>
      <c r="C801" s="174"/>
      <c r="F801" s="174"/>
      <c r="I801" s="175"/>
    </row>
    <row r="802">
      <c r="B802" s="174"/>
      <c r="C802" s="174"/>
      <c r="F802" s="174"/>
      <c r="I802" s="175"/>
    </row>
    <row r="803">
      <c r="B803" s="174"/>
      <c r="C803" s="174"/>
      <c r="F803" s="174"/>
      <c r="I803" s="175"/>
    </row>
    <row r="804">
      <c r="B804" s="174"/>
      <c r="C804" s="174"/>
      <c r="F804" s="174"/>
      <c r="I804" s="175"/>
    </row>
    <row r="805">
      <c r="B805" s="174"/>
      <c r="C805" s="174"/>
      <c r="F805" s="174"/>
      <c r="I805" s="175"/>
    </row>
    <row r="806">
      <c r="B806" s="174"/>
      <c r="C806" s="174"/>
      <c r="F806" s="174"/>
      <c r="I806" s="175"/>
    </row>
    <row r="807">
      <c r="B807" s="174"/>
      <c r="C807" s="174"/>
      <c r="F807" s="174"/>
      <c r="I807" s="175"/>
    </row>
    <row r="808">
      <c r="B808" s="174"/>
      <c r="C808" s="174"/>
      <c r="F808" s="174"/>
      <c r="I808" s="175"/>
    </row>
    <row r="809">
      <c r="B809" s="174"/>
      <c r="C809" s="174"/>
      <c r="F809" s="174"/>
      <c r="I809" s="175"/>
    </row>
    <row r="810">
      <c r="B810" s="174"/>
      <c r="C810" s="174"/>
      <c r="F810" s="174"/>
      <c r="I810" s="175"/>
    </row>
    <row r="811">
      <c r="B811" s="174"/>
      <c r="C811" s="174"/>
      <c r="F811" s="174"/>
      <c r="I811" s="175"/>
    </row>
    <row r="812">
      <c r="B812" s="174"/>
      <c r="C812" s="174"/>
      <c r="F812" s="174"/>
      <c r="I812" s="175"/>
    </row>
    <row r="813">
      <c r="B813" s="174"/>
      <c r="C813" s="174"/>
      <c r="F813" s="174"/>
      <c r="I813" s="175"/>
    </row>
    <row r="814">
      <c r="B814" s="174"/>
      <c r="C814" s="174"/>
      <c r="F814" s="174"/>
      <c r="I814" s="175"/>
    </row>
    <row r="815">
      <c r="B815" s="174"/>
      <c r="C815" s="174"/>
      <c r="F815" s="174"/>
      <c r="I815" s="175"/>
    </row>
    <row r="816">
      <c r="B816" s="174"/>
      <c r="C816" s="174"/>
      <c r="F816" s="174"/>
      <c r="I816" s="175"/>
    </row>
    <row r="817">
      <c r="B817" s="174"/>
      <c r="C817" s="174"/>
      <c r="F817" s="174"/>
      <c r="I817" s="175"/>
    </row>
    <row r="818">
      <c r="B818" s="174"/>
      <c r="C818" s="174"/>
      <c r="F818" s="174"/>
      <c r="I818" s="175"/>
    </row>
    <row r="819">
      <c r="B819" s="174"/>
      <c r="C819" s="174"/>
      <c r="F819" s="174"/>
      <c r="I819" s="175"/>
    </row>
    <row r="820">
      <c r="B820" s="174"/>
      <c r="C820" s="174"/>
      <c r="F820" s="174"/>
      <c r="I820" s="175"/>
    </row>
    <row r="821">
      <c r="B821" s="174"/>
      <c r="C821" s="174"/>
      <c r="F821" s="174"/>
      <c r="I821" s="175"/>
    </row>
    <row r="822">
      <c r="B822" s="174"/>
      <c r="C822" s="174"/>
      <c r="F822" s="174"/>
      <c r="I822" s="175"/>
    </row>
    <row r="823">
      <c r="B823" s="174"/>
      <c r="C823" s="174"/>
      <c r="F823" s="174"/>
      <c r="I823" s="175"/>
    </row>
    <row r="824">
      <c r="B824" s="174"/>
      <c r="C824" s="174"/>
      <c r="F824" s="174"/>
      <c r="I824" s="175"/>
    </row>
    <row r="825">
      <c r="B825" s="174"/>
      <c r="C825" s="174"/>
      <c r="F825" s="174"/>
      <c r="I825" s="175"/>
    </row>
    <row r="826">
      <c r="B826" s="174"/>
      <c r="C826" s="174"/>
      <c r="F826" s="174"/>
      <c r="I826" s="175"/>
    </row>
    <row r="827">
      <c r="B827" s="174"/>
      <c r="C827" s="174"/>
      <c r="F827" s="174"/>
      <c r="I827" s="175"/>
    </row>
    <row r="828">
      <c r="B828" s="174"/>
      <c r="C828" s="174"/>
      <c r="F828" s="174"/>
      <c r="I828" s="175"/>
    </row>
    <row r="829">
      <c r="B829" s="174"/>
      <c r="C829" s="174"/>
      <c r="F829" s="174"/>
      <c r="I829" s="175"/>
    </row>
    <row r="830">
      <c r="B830" s="174"/>
      <c r="C830" s="174"/>
      <c r="F830" s="174"/>
      <c r="I830" s="175"/>
    </row>
    <row r="831">
      <c r="B831" s="174"/>
      <c r="C831" s="174"/>
      <c r="F831" s="174"/>
      <c r="I831" s="175"/>
    </row>
    <row r="832">
      <c r="B832" s="174"/>
      <c r="C832" s="174"/>
      <c r="F832" s="174"/>
      <c r="I832" s="175"/>
    </row>
    <row r="833">
      <c r="B833" s="174"/>
      <c r="C833" s="174"/>
      <c r="F833" s="174"/>
      <c r="I833" s="175"/>
    </row>
    <row r="834">
      <c r="B834" s="174"/>
      <c r="C834" s="174"/>
      <c r="F834" s="174"/>
      <c r="I834" s="175"/>
    </row>
    <row r="835">
      <c r="B835" s="174"/>
      <c r="C835" s="174"/>
      <c r="F835" s="174"/>
      <c r="I835" s="175"/>
    </row>
    <row r="836">
      <c r="B836" s="174"/>
      <c r="C836" s="174"/>
      <c r="F836" s="174"/>
      <c r="I836" s="175"/>
    </row>
    <row r="837">
      <c r="B837" s="174"/>
      <c r="C837" s="174"/>
      <c r="F837" s="174"/>
      <c r="I837" s="175"/>
    </row>
    <row r="838">
      <c r="B838" s="174"/>
      <c r="C838" s="174"/>
      <c r="F838" s="174"/>
      <c r="I838" s="175"/>
    </row>
    <row r="839">
      <c r="B839" s="174"/>
      <c r="C839" s="174"/>
      <c r="F839" s="174"/>
      <c r="I839" s="175"/>
    </row>
    <row r="840">
      <c r="B840" s="174"/>
      <c r="C840" s="174"/>
      <c r="F840" s="174"/>
      <c r="I840" s="175"/>
    </row>
    <row r="841">
      <c r="B841" s="174"/>
      <c r="C841" s="174"/>
      <c r="F841" s="174"/>
      <c r="I841" s="175"/>
    </row>
    <row r="842">
      <c r="B842" s="174"/>
      <c r="C842" s="174"/>
      <c r="F842" s="174"/>
      <c r="I842" s="175"/>
    </row>
    <row r="843">
      <c r="B843" s="174"/>
      <c r="C843" s="174"/>
      <c r="F843" s="174"/>
      <c r="I843" s="175"/>
    </row>
    <row r="844">
      <c r="B844" s="174"/>
      <c r="C844" s="174"/>
      <c r="F844" s="174"/>
      <c r="I844" s="175"/>
    </row>
    <row r="845">
      <c r="B845" s="174"/>
      <c r="C845" s="174"/>
      <c r="F845" s="174"/>
      <c r="I845" s="175"/>
    </row>
    <row r="846">
      <c r="B846" s="174"/>
      <c r="C846" s="174"/>
      <c r="F846" s="174"/>
      <c r="I846" s="175"/>
    </row>
    <row r="847">
      <c r="B847" s="174"/>
      <c r="C847" s="174"/>
      <c r="F847" s="174"/>
      <c r="I847" s="175"/>
    </row>
    <row r="848">
      <c r="B848" s="174"/>
      <c r="C848" s="174"/>
      <c r="F848" s="174"/>
      <c r="I848" s="175"/>
    </row>
    <row r="849">
      <c r="B849" s="174"/>
      <c r="C849" s="174"/>
      <c r="F849" s="174"/>
      <c r="I849" s="175"/>
    </row>
    <row r="850">
      <c r="B850" s="174"/>
      <c r="C850" s="174"/>
      <c r="F850" s="174"/>
      <c r="I850" s="175"/>
    </row>
    <row r="851">
      <c r="B851" s="174"/>
      <c r="C851" s="174"/>
      <c r="F851" s="174"/>
      <c r="I851" s="175"/>
    </row>
    <row r="852">
      <c r="B852" s="174"/>
      <c r="C852" s="174"/>
      <c r="F852" s="174"/>
      <c r="I852" s="175"/>
    </row>
    <row r="853">
      <c r="B853" s="174"/>
      <c r="C853" s="174"/>
      <c r="F853" s="174"/>
      <c r="I853" s="175"/>
    </row>
    <row r="854">
      <c r="B854" s="174"/>
      <c r="C854" s="174"/>
      <c r="F854" s="174"/>
      <c r="I854" s="175"/>
    </row>
    <row r="855">
      <c r="B855" s="174"/>
      <c r="C855" s="174"/>
      <c r="F855" s="174"/>
      <c r="I855" s="175"/>
    </row>
    <row r="856">
      <c r="B856" s="174"/>
      <c r="C856" s="174"/>
      <c r="F856" s="174"/>
      <c r="I856" s="175"/>
    </row>
    <row r="857">
      <c r="B857" s="174"/>
      <c r="C857" s="174"/>
      <c r="F857" s="174"/>
      <c r="I857" s="175"/>
    </row>
    <row r="858">
      <c r="B858" s="174"/>
      <c r="C858" s="174"/>
      <c r="F858" s="174"/>
      <c r="I858" s="175"/>
    </row>
    <row r="859">
      <c r="B859" s="174"/>
      <c r="C859" s="174"/>
      <c r="F859" s="174"/>
      <c r="I859" s="175"/>
    </row>
    <row r="860">
      <c r="B860" s="174"/>
      <c r="C860" s="174"/>
      <c r="F860" s="174"/>
      <c r="I860" s="175"/>
    </row>
    <row r="861">
      <c r="B861" s="174"/>
      <c r="C861" s="174"/>
      <c r="F861" s="174"/>
      <c r="I861" s="175"/>
    </row>
    <row r="862">
      <c r="B862" s="174"/>
      <c r="C862" s="174"/>
      <c r="F862" s="174"/>
      <c r="I862" s="175"/>
    </row>
    <row r="863">
      <c r="B863" s="174"/>
      <c r="C863" s="174"/>
      <c r="F863" s="174"/>
      <c r="I863" s="175"/>
    </row>
    <row r="864">
      <c r="B864" s="174"/>
      <c r="C864" s="174"/>
      <c r="F864" s="174"/>
      <c r="I864" s="175"/>
    </row>
    <row r="865">
      <c r="B865" s="174"/>
      <c r="C865" s="174"/>
      <c r="F865" s="174"/>
      <c r="I865" s="175"/>
    </row>
    <row r="866">
      <c r="B866" s="174"/>
      <c r="C866" s="174"/>
      <c r="F866" s="174"/>
      <c r="I866" s="175"/>
    </row>
    <row r="867">
      <c r="B867" s="174"/>
      <c r="C867" s="174"/>
      <c r="F867" s="174"/>
      <c r="I867" s="175"/>
    </row>
    <row r="868">
      <c r="B868" s="174"/>
      <c r="C868" s="174"/>
      <c r="F868" s="174"/>
      <c r="I868" s="175"/>
    </row>
    <row r="869">
      <c r="B869" s="174"/>
      <c r="C869" s="174"/>
      <c r="F869" s="174"/>
      <c r="I869" s="175"/>
    </row>
    <row r="870">
      <c r="B870" s="174"/>
      <c r="C870" s="174"/>
      <c r="F870" s="174"/>
      <c r="I870" s="175"/>
    </row>
    <row r="871">
      <c r="B871" s="174"/>
      <c r="C871" s="174"/>
      <c r="F871" s="174"/>
      <c r="I871" s="175"/>
    </row>
    <row r="872">
      <c r="B872" s="174"/>
      <c r="C872" s="174"/>
      <c r="F872" s="174"/>
      <c r="I872" s="175"/>
    </row>
    <row r="873">
      <c r="B873" s="174"/>
      <c r="C873" s="174"/>
      <c r="F873" s="174"/>
      <c r="I873" s="175"/>
    </row>
    <row r="874">
      <c r="B874" s="174"/>
      <c r="C874" s="174"/>
      <c r="F874" s="174"/>
      <c r="I874" s="175"/>
    </row>
    <row r="875">
      <c r="B875" s="174"/>
      <c r="C875" s="174"/>
      <c r="F875" s="174"/>
      <c r="I875" s="175"/>
    </row>
    <row r="876">
      <c r="B876" s="174"/>
      <c r="C876" s="174"/>
      <c r="F876" s="174"/>
      <c r="I876" s="175"/>
    </row>
    <row r="877">
      <c r="B877" s="174"/>
      <c r="C877" s="174"/>
      <c r="F877" s="174"/>
      <c r="I877" s="175"/>
    </row>
    <row r="878">
      <c r="B878" s="174"/>
      <c r="C878" s="174"/>
      <c r="F878" s="174"/>
      <c r="I878" s="175"/>
    </row>
    <row r="879">
      <c r="B879" s="174"/>
      <c r="C879" s="174"/>
      <c r="F879" s="174"/>
      <c r="I879" s="175"/>
    </row>
    <row r="880">
      <c r="B880" s="174"/>
      <c r="C880" s="174"/>
      <c r="F880" s="174"/>
      <c r="I880" s="175"/>
    </row>
    <row r="881">
      <c r="B881" s="174"/>
      <c r="C881" s="174"/>
      <c r="F881" s="174"/>
      <c r="I881" s="175"/>
    </row>
    <row r="882">
      <c r="B882" s="174"/>
      <c r="C882" s="174"/>
      <c r="F882" s="174"/>
      <c r="I882" s="175"/>
    </row>
    <row r="883">
      <c r="B883" s="174"/>
      <c r="C883" s="174"/>
      <c r="F883" s="174"/>
      <c r="I883" s="175"/>
    </row>
    <row r="884">
      <c r="B884" s="174"/>
      <c r="C884" s="174"/>
      <c r="F884" s="174"/>
      <c r="I884" s="175"/>
    </row>
    <row r="885">
      <c r="B885" s="174"/>
      <c r="C885" s="174"/>
      <c r="F885" s="174"/>
      <c r="I885" s="175"/>
    </row>
    <row r="886">
      <c r="B886" s="174"/>
      <c r="C886" s="174"/>
      <c r="F886" s="174"/>
      <c r="I886" s="175"/>
    </row>
    <row r="887">
      <c r="B887" s="174"/>
      <c r="C887" s="174"/>
      <c r="F887" s="174"/>
      <c r="I887" s="175"/>
    </row>
    <row r="888">
      <c r="B888" s="174"/>
      <c r="C888" s="174"/>
      <c r="F888" s="174"/>
      <c r="I888" s="175"/>
    </row>
    <row r="889">
      <c r="B889" s="174"/>
      <c r="C889" s="174"/>
      <c r="F889" s="174"/>
      <c r="I889" s="175"/>
    </row>
    <row r="890">
      <c r="B890" s="174"/>
      <c r="C890" s="174"/>
      <c r="F890" s="174"/>
      <c r="I890" s="175"/>
    </row>
    <row r="891">
      <c r="B891" s="174"/>
      <c r="C891" s="174"/>
      <c r="F891" s="174"/>
      <c r="I891" s="175"/>
    </row>
    <row r="892">
      <c r="B892" s="174"/>
      <c r="C892" s="174"/>
      <c r="F892" s="174"/>
      <c r="I892" s="175"/>
    </row>
    <row r="893">
      <c r="B893" s="174"/>
      <c r="C893" s="174"/>
      <c r="F893" s="174"/>
      <c r="I893" s="175"/>
    </row>
    <row r="894">
      <c r="B894" s="174"/>
      <c r="C894" s="174"/>
      <c r="F894" s="174"/>
      <c r="I894" s="175"/>
    </row>
    <row r="895">
      <c r="B895" s="174"/>
      <c r="C895" s="174"/>
      <c r="F895" s="174"/>
      <c r="I895" s="175"/>
    </row>
    <row r="896">
      <c r="B896" s="174"/>
      <c r="C896" s="174"/>
      <c r="F896" s="174"/>
      <c r="I896" s="175"/>
    </row>
    <row r="897">
      <c r="B897" s="174"/>
      <c r="C897" s="174"/>
      <c r="F897" s="174"/>
      <c r="I897" s="175"/>
    </row>
    <row r="898">
      <c r="B898" s="174"/>
      <c r="C898" s="174"/>
      <c r="F898" s="174"/>
      <c r="I898" s="175"/>
    </row>
    <row r="899">
      <c r="B899" s="174"/>
      <c r="C899" s="174"/>
      <c r="F899" s="174"/>
      <c r="I899" s="175"/>
    </row>
    <row r="900">
      <c r="B900" s="174"/>
      <c r="C900" s="174"/>
      <c r="F900" s="174"/>
      <c r="I900" s="175"/>
    </row>
    <row r="901">
      <c r="B901" s="174"/>
      <c r="C901" s="174"/>
      <c r="F901" s="174"/>
      <c r="I901" s="175"/>
    </row>
    <row r="902">
      <c r="B902" s="174"/>
      <c r="C902" s="174"/>
      <c r="F902" s="174"/>
      <c r="I902" s="175"/>
    </row>
    <row r="903">
      <c r="B903" s="174"/>
      <c r="C903" s="174"/>
      <c r="F903" s="174"/>
      <c r="I903" s="175"/>
    </row>
    <row r="904">
      <c r="B904" s="174"/>
      <c r="C904" s="174"/>
      <c r="F904" s="174"/>
      <c r="I904" s="175"/>
    </row>
    <row r="905">
      <c r="B905" s="174"/>
      <c r="C905" s="174"/>
      <c r="F905" s="174"/>
      <c r="I905" s="175"/>
    </row>
    <row r="906">
      <c r="B906" s="174"/>
      <c r="C906" s="174"/>
      <c r="F906" s="174"/>
      <c r="I906" s="175"/>
    </row>
    <row r="907">
      <c r="B907" s="174"/>
      <c r="C907" s="174"/>
      <c r="F907" s="174"/>
      <c r="I907" s="175"/>
    </row>
    <row r="908">
      <c r="B908" s="174"/>
      <c r="C908" s="174"/>
      <c r="F908" s="174"/>
      <c r="I908" s="175"/>
    </row>
    <row r="909">
      <c r="B909" s="174"/>
      <c r="C909" s="174"/>
      <c r="F909" s="174"/>
      <c r="I909" s="175"/>
    </row>
    <row r="910">
      <c r="B910" s="174"/>
      <c r="C910" s="174"/>
      <c r="F910" s="174"/>
      <c r="I910" s="175"/>
    </row>
    <row r="911">
      <c r="B911" s="174"/>
      <c r="C911" s="174"/>
      <c r="F911" s="174"/>
      <c r="I911" s="175"/>
    </row>
    <row r="912">
      <c r="B912" s="174"/>
      <c r="C912" s="174"/>
      <c r="F912" s="174"/>
      <c r="I912" s="175"/>
    </row>
    <row r="913">
      <c r="B913" s="174"/>
      <c r="C913" s="174"/>
      <c r="F913" s="174"/>
      <c r="I913" s="175"/>
    </row>
    <row r="914">
      <c r="B914" s="174"/>
      <c r="C914" s="174"/>
      <c r="F914" s="174"/>
      <c r="I914" s="175"/>
    </row>
    <row r="915">
      <c r="B915" s="174"/>
      <c r="C915" s="174"/>
      <c r="F915" s="174"/>
      <c r="I915" s="175"/>
    </row>
    <row r="916">
      <c r="B916" s="174"/>
      <c r="C916" s="174"/>
      <c r="F916" s="174"/>
      <c r="I916" s="175"/>
    </row>
    <row r="917">
      <c r="B917" s="174"/>
      <c r="C917" s="174"/>
      <c r="F917" s="174"/>
      <c r="I917" s="175"/>
    </row>
    <row r="918">
      <c r="B918" s="174"/>
      <c r="C918" s="174"/>
      <c r="F918" s="174"/>
      <c r="I918" s="175"/>
    </row>
    <row r="919">
      <c r="B919" s="174"/>
      <c r="C919" s="174"/>
      <c r="F919" s="174"/>
      <c r="I919" s="175"/>
    </row>
    <row r="920">
      <c r="B920" s="174"/>
      <c r="C920" s="174"/>
      <c r="F920" s="174"/>
      <c r="I920" s="175"/>
    </row>
    <row r="921">
      <c r="B921" s="174"/>
      <c r="C921" s="174"/>
      <c r="F921" s="174"/>
      <c r="I921" s="175"/>
    </row>
    <row r="922">
      <c r="B922" s="174"/>
      <c r="C922" s="174"/>
      <c r="F922" s="174"/>
      <c r="I922" s="175"/>
    </row>
    <row r="923">
      <c r="B923" s="174"/>
      <c r="C923" s="174"/>
      <c r="F923" s="174"/>
      <c r="I923" s="175"/>
    </row>
    <row r="924">
      <c r="B924" s="174"/>
      <c r="C924" s="174"/>
      <c r="F924" s="174"/>
      <c r="I924" s="175"/>
    </row>
    <row r="925">
      <c r="B925" s="174"/>
      <c r="C925" s="174"/>
      <c r="F925" s="174"/>
      <c r="I925" s="175"/>
    </row>
    <row r="926">
      <c r="B926" s="174"/>
      <c r="C926" s="174"/>
      <c r="F926" s="174"/>
      <c r="I926" s="175"/>
    </row>
    <row r="927">
      <c r="B927" s="174"/>
      <c r="C927" s="174"/>
      <c r="F927" s="174"/>
      <c r="I927" s="175"/>
    </row>
    <row r="928">
      <c r="B928" s="174"/>
      <c r="C928" s="174"/>
      <c r="F928" s="174"/>
      <c r="I928" s="175"/>
    </row>
    <row r="929">
      <c r="B929" s="174"/>
      <c r="C929" s="174"/>
      <c r="F929" s="174"/>
      <c r="I929" s="175"/>
    </row>
    <row r="930">
      <c r="B930" s="174"/>
      <c r="C930" s="174"/>
      <c r="F930" s="174"/>
      <c r="I930" s="175"/>
    </row>
    <row r="931">
      <c r="B931" s="174"/>
      <c r="C931" s="174"/>
      <c r="F931" s="174"/>
      <c r="I931" s="175"/>
    </row>
    <row r="932">
      <c r="B932" s="174"/>
      <c r="C932" s="174"/>
      <c r="F932" s="174"/>
      <c r="I932" s="175"/>
    </row>
    <row r="933">
      <c r="B933" s="174"/>
      <c r="C933" s="174"/>
      <c r="F933" s="174"/>
      <c r="I933" s="175"/>
    </row>
    <row r="934">
      <c r="B934" s="174"/>
      <c r="C934" s="174"/>
      <c r="F934" s="174"/>
      <c r="I934" s="175"/>
    </row>
    <row r="935">
      <c r="B935" s="174"/>
      <c r="C935" s="174"/>
      <c r="F935" s="174"/>
      <c r="I935" s="175"/>
    </row>
    <row r="936">
      <c r="B936" s="174"/>
      <c r="C936" s="174"/>
      <c r="F936" s="174"/>
      <c r="I936" s="175"/>
    </row>
    <row r="937">
      <c r="B937" s="174"/>
      <c r="C937" s="174"/>
      <c r="F937" s="174"/>
      <c r="I937" s="175"/>
    </row>
    <row r="938">
      <c r="B938" s="174"/>
      <c r="C938" s="174"/>
      <c r="F938" s="174"/>
      <c r="I938" s="175"/>
    </row>
    <row r="939">
      <c r="B939" s="174"/>
      <c r="C939" s="174"/>
      <c r="F939" s="174"/>
      <c r="I939" s="175"/>
    </row>
    <row r="940">
      <c r="B940" s="174"/>
      <c r="C940" s="174"/>
      <c r="F940" s="174"/>
      <c r="I940" s="175"/>
    </row>
    <row r="941">
      <c r="B941" s="174"/>
      <c r="C941" s="174"/>
      <c r="F941" s="174"/>
      <c r="I941" s="175"/>
    </row>
    <row r="942">
      <c r="B942" s="174"/>
      <c r="C942" s="174"/>
      <c r="F942" s="174"/>
      <c r="I942" s="175"/>
    </row>
    <row r="943">
      <c r="B943" s="174"/>
      <c r="C943" s="174"/>
      <c r="F943" s="174"/>
      <c r="I943" s="175"/>
    </row>
    <row r="944">
      <c r="B944" s="174"/>
      <c r="C944" s="174"/>
      <c r="F944" s="174"/>
      <c r="I944" s="175"/>
    </row>
    <row r="945">
      <c r="B945" s="174"/>
      <c r="C945" s="174"/>
      <c r="F945" s="174"/>
      <c r="I945" s="175"/>
    </row>
    <row r="946">
      <c r="B946" s="174"/>
      <c r="C946" s="174"/>
      <c r="F946" s="174"/>
      <c r="I946" s="175"/>
    </row>
    <row r="947">
      <c r="B947" s="174"/>
      <c r="C947" s="174"/>
      <c r="F947" s="174"/>
      <c r="I947" s="175"/>
    </row>
    <row r="948">
      <c r="B948" s="174"/>
      <c r="C948" s="174"/>
      <c r="F948" s="174"/>
      <c r="I948" s="175"/>
    </row>
    <row r="949">
      <c r="B949" s="174"/>
      <c r="C949" s="174"/>
      <c r="F949" s="174"/>
      <c r="I949" s="175"/>
    </row>
    <row r="950">
      <c r="B950" s="174"/>
      <c r="C950" s="174"/>
      <c r="F950" s="174"/>
      <c r="I950" s="175"/>
    </row>
    <row r="951">
      <c r="B951" s="174"/>
      <c r="C951" s="174"/>
      <c r="F951" s="174"/>
      <c r="I951" s="175"/>
    </row>
    <row r="952">
      <c r="B952" s="174"/>
      <c r="C952" s="174"/>
      <c r="F952" s="174"/>
      <c r="I952" s="175"/>
    </row>
    <row r="953">
      <c r="B953" s="174"/>
      <c r="C953" s="174"/>
      <c r="F953" s="174"/>
      <c r="I953" s="175"/>
    </row>
    <row r="954">
      <c r="B954" s="174"/>
      <c r="C954" s="174"/>
      <c r="F954" s="174"/>
      <c r="I954" s="175"/>
    </row>
    <row r="955">
      <c r="B955" s="174"/>
      <c r="C955" s="174"/>
      <c r="F955" s="174"/>
      <c r="I955" s="175"/>
    </row>
    <row r="956">
      <c r="B956" s="174"/>
      <c r="C956" s="174"/>
      <c r="F956" s="174"/>
      <c r="I956" s="175"/>
    </row>
    <row r="957">
      <c r="B957" s="174"/>
      <c r="C957" s="174"/>
      <c r="F957" s="174"/>
      <c r="I957" s="175"/>
    </row>
    <row r="958">
      <c r="B958" s="174"/>
      <c r="C958" s="174"/>
      <c r="F958" s="174"/>
      <c r="I958" s="175"/>
    </row>
    <row r="959">
      <c r="B959" s="174"/>
      <c r="C959" s="174"/>
      <c r="F959" s="174"/>
      <c r="I959" s="175"/>
    </row>
    <row r="960">
      <c r="B960" s="174"/>
      <c r="C960" s="174"/>
      <c r="F960" s="174"/>
      <c r="I960" s="175"/>
    </row>
    <row r="961">
      <c r="B961" s="174"/>
      <c r="C961" s="174"/>
      <c r="F961" s="174"/>
      <c r="I961" s="175"/>
    </row>
    <row r="962">
      <c r="B962" s="174"/>
      <c r="C962" s="174"/>
      <c r="F962" s="174"/>
      <c r="I962" s="175"/>
    </row>
    <row r="963">
      <c r="B963" s="174"/>
      <c r="C963" s="174"/>
      <c r="F963" s="174"/>
      <c r="I963" s="175"/>
    </row>
    <row r="964">
      <c r="B964" s="174"/>
      <c r="C964" s="174"/>
      <c r="F964" s="174"/>
      <c r="I964" s="175"/>
    </row>
    <row r="965">
      <c r="B965" s="174"/>
      <c r="C965" s="174"/>
      <c r="F965" s="174"/>
      <c r="I965" s="175"/>
    </row>
    <row r="966">
      <c r="B966" s="174"/>
      <c r="C966" s="174"/>
      <c r="F966" s="174"/>
      <c r="I966" s="175"/>
    </row>
    <row r="967">
      <c r="B967" s="174"/>
      <c r="C967" s="174"/>
      <c r="F967" s="174"/>
      <c r="I967" s="175"/>
    </row>
    <row r="968">
      <c r="B968" s="174"/>
      <c r="C968" s="174"/>
      <c r="F968" s="174"/>
      <c r="I968" s="175"/>
    </row>
    <row r="969">
      <c r="B969" s="174"/>
      <c r="C969" s="174"/>
      <c r="F969" s="174"/>
      <c r="I969" s="175"/>
    </row>
    <row r="970">
      <c r="B970" s="174"/>
      <c r="C970" s="174"/>
      <c r="F970" s="174"/>
      <c r="I970" s="175"/>
    </row>
    <row r="971">
      <c r="B971" s="174"/>
      <c r="C971" s="174"/>
      <c r="F971" s="174"/>
      <c r="I971" s="175"/>
    </row>
    <row r="972">
      <c r="B972" s="174"/>
      <c r="C972" s="174"/>
      <c r="F972" s="174"/>
      <c r="I972" s="175"/>
    </row>
    <row r="973">
      <c r="B973" s="174"/>
      <c r="C973" s="174"/>
      <c r="F973" s="174"/>
      <c r="I973" s="175"/>
    </row>
    <row r="974">
      <c r="B974" s="174"/>
      <c r="C974" s="174"/>
      <c r="F974" s="174"/>
      <c r="I974" s="175"/>
    </row>
    <row r="975">
      <c r="B975" s="174"/>
      <c r="C975" s="174"/>
      <c r="F975" s="174"/>
      <c r="I975" s="175"/>
    </row>
    <row r="976">
      <c r="B976" s="174"/>
      <c r="C976" s="174"/>
      <c r="F976" s="174"/>
      <c r="I976" s="175"/>
    </row>
    <row r="977">
      <c r="B977" s="174"/>
      <c r="C977" s="174"/>
      <c r="F977" s="174"/>
      <c r="I977" s="175"/>
    </row>
    <row r="978">
      <c r="B978" s="174"/>
      <c r="C978" s="174"/>
      <c r="F978" s="174"/>
      <c r="I978" s="175"/>
    </row>
    <row r="979">
      <c r="B979" s="174"/>
      <c r="C979" s="174"/>
      <c r="F979" s="174"/>
      <c r="I979" s="175"/>
    </row>
    <row r="980">
      <c r="B980" s="174"/>
      <c r="C980" s="174"/>
      <c r="F980" s="174"/>
      <c r="I980" s="175"/>
    </row>
    <row r="981">
      <c r="B981" s="174"/>
      <c r="C981" s="174"/>
      <c r="F981" s="174"/>
      <c r="I981" s="175"/>
    </row>
    <row r="982">
      <c r="B982" s="174"/>
      <c r="C982" s="174"/>
      <c r="F982" s="174"/>
      <c r="I982" s="175"/>
    </row>
    <row r="983">
      <c r="B983" s="174"/>
      <c r="C983" s="174"/>
      <c r="F983" s="174"/>
      <c r="I983" s="175"/>
    </row>
    <row r="984">
      <c r="B984" s="174"/>
      <c r="C984" s="174"/>
      <c r="F984" s="174"/>
      <c r="I984" s="175"/>
    </row>
    <row r="985">
      <c r="B985" s="174"/>
      <c r="C985" s="174"/>
      <c r="F985" s="174"/>
      <c r="I985" s="175"/>
    </row>
    <row r="986">
      <c r="B986" s="174"/>
      <c r="C986" s="174"/>
      <c r="F986" s="174"/>
      <c r="I986" s="175"/>
    </row>
    <row r="987">
      <c r="B987" s="174"/>
      <c r="C987" s="174"/>
      <c r="F987" s="174"/>
      <c r="I987" s="175"/>
    </row>
    <row r="988">
      <c r="B988" s="174"/>
      <c r="C988" s="174"/>
      <c r="F988" s="174"/>
      <c r="I988" s="175"/>
    </row>
    <row r="989">
      <c r="B989" s="174"/>
      <c r="C989" s="174"/>
      <c r="F989" s="174"/>
      <c r="I989" s="175"/>
    </row>
    <row r="990">
      <c r="B990" s="174"/>
      <c r="C990" s="174"/>
      <c r="F990" s="174"/>
      <c r="I990" s="175"/>
    </row>
    <row r="991">
      <c r="B991" s="174"/>
      <c r="C991" s="174"/>
      <c r="F991" s="174"/>
      <c r="I991" s="175"/>
    </row>
    <row r="992">
      <c r="B992" s="174"/>
      <c r="C992" s="174"/>
      <c r="F992" s="174"/>
      <c r="I992" s="175"/>
    </row>
    <row r="993">
      <c r="B993" s="174"/>
      <c r="C993" s="174"/>
      <c r="F993" s="174"/>
      <c r="I993" s="175"/>
    </row>
    <row r="994">
      <c r="B994" s="174"/>
      <c r="C994" s="174"/>
      <c r="F994" s="174"/>
      <c r="I994" s="175"/>
    </row>
    <row r="995">
      <c r="B995" s="174"/>
      <c r="C995" s="174"/>
      <c r="F995" s="174"/>
      <c r="I995" s="175"/>
    </row>
    <row r="996">
      <c r="B996" s="174"/>
      <c r="C996" s="174"/>
      <c r="F996" s="174"/>
      <c r="I996" s="175"/>
    </row>
    <row r="997">
      <c r="B997" s="174"/>
      <c r="C997" s="174"/>
      <c r="F997" s="174"/>
      <c r="I997" s="175"/>
    </row>
    <row r="998">
      <c r="B998" s="174"/>
      <c r="C998" s="174"/>
      <c r="F998" s="174"/>
      <c r="I998" s="175"/>
    </row>
    <row r="999">
      <c r="B999" s="174"/>
      <c r="C999" s="174"/>
      <c r="F999" s="174"/>
      <c r="I999" s="175"/>
    </row>
    <row r="1000">
      <c r="B1000" s="174"/>
      <c r="C1000" s="174"/>
      <c r="F1000" s="174"/>
      <c r="I1000" s="175"/>
    </row>
  </sheetData>
  <dataValidations>
    <dataValidation type="list" allowBlank="1" sqref="K2:K252">
      <formula1>"Positivo,Negativo"</formula1>
    </dataValidation>
    <dataValidation type="list" allowBlank="1" sqref="M2:M252">
      <formula1>"Institucional,Sustentabilidad,Proveedor Estratégico"</formula1>
    </dataValidation>
    <dataValidation type="list" allowBlank="1" sqref="N2:N252">
      <formula1>"Marca Empleadora/RRHH,Escenario Político Económico,Generalidades,Modernización,Estrategia ESG,Relaciones con la Comunidad,Cadena de Valor y Sectores,Logística y Seguridad"</formula1>
    </dataValidation>
    <dataValidation type="list" allowBlank="1" showErrorMessage="1" sqref="E2:E252">
      <formula1>"Orgánica,Paga"</formula1>
    </dataValidation>
    <dataValidation type="custom" allowBlank="1" showDropDown="1" sqref="J2:J252">
      <formula1>AND(ISNUMBER(J2),(NOT(OR(NOT(ISERROR(DATEVALUE(J2))), AND(ISNUMBER(J2), LEFT(CELL("format", J2))="D")))))</formula1>
    </dataValidation>
    <dataValidation type="list" allowBlank="1" showErrorMessage="1" sqref="D2:D252">
      <formula1>"Espontánea,Reactiva,Proactiva"</formula1>
    </dataValidation>
  </dataValidations>
  <hyperlinks>
    <hyperlink r:id="rId1" ref="G2"/>
    <hyperlink r:id="rId2" ref="G3"/>
    <hyperlink r:id="rId3" ref="G4"/>
    <hyperlink r:id="rId4" location=":~:text=El%20Maldonado%20abrir%C3%A1%20todos%20los%20d%C3%ADas%20de%209%20a%2021%20hs.&amp;text=En%20su%20ingreso%20se%20debe,el%20ingreso%20de%20bebidas%20alcoh%C3%B3licas."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location=":~:text=Asimismo%2C%20el%20desarrollo%20de%20quienes,motor%20de%20nuestra%20excelencia%20operativa." ref="G23"/>
    <hyperlink r:id="rId23" ref="G24"/>
    <hyperlink r:id="rId24" ref="G25"/>
    <hyperlink r:id="rId25" ref="G26"/>
    <hyperlink r:id="rId26" ref="G27"/>
    <hyperlink r:id="rId27" ref="G28"/>
    <hyperlink r:id="rId28" ref="G29"/>
    <hyperlink r:id="rId29" ref="G30"/>
    <hyperlink r:id="rId30" ref="G31"/>
    <hyperlink r:id="rId31" location=":~:text=de%20marzo%20%7C%202026-,Unipar%20renueva%20su%20liderazgo%20ejecutivo%20y%20gana%20peso%20institucional%20en,c%C3%A1maras%20del%20sector%20qu%C3%ADmico%20sudamericano." ref="G32"/>
    <hyperlink r:id="rId32" ref="G33"/>
    <hyperlink r:id="rId33" ref="G34"/>
    <hyperlink r:id="rId34" ref="G35"/>
    <hyperlink r:id="rId35" ref="G36"/>
    <hyperlink r:id="rId36" ref="G37"/>
    <hyperlink r:id="rId37" location=":~:text=El%20Gobierno%20de%20R%C3%ADo%20Negro,salinas%20m%C3%A1s%20grandes%20de%20Sudam%C3%A9rica." ref="G38"/>
    <hyperlink r:id="rId38" ref="G39"/>
    <hyperlink r:id="rId39" location=":~:text=Unipar%20fue%20reconocida%20en%20el,100.000%20personasen%20todo%20el%20pa%C3%ADs."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location=":~:text=La%20ciudad.-,Unipar%20presenta%20su%20Reporte%20de%20Sostenibilidad%202025%20con%20resultados%20que,seguridad%20y%20la%20evoluci%C3%B3n%20continua."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location=":~:text=Industria-,Unipar%20presenta%20su%20Reporte%20de%20Sostenibilidad%202025%20con%20resultados%20que,realizadas%20durante%20los%20%C3%BAltimos%20a%C3%B1os"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s>
  <drawing r:id="rId252"/>
  <tableParts count="1">
    <tablePart r:id="rId25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0.88"/>
    <col customWidth="1" min="3" max="3" width="13.38"/>
    <col customWidth="1" min="4" max="4" width="25.25"/>
    <col customWidth="1" min="5" max="5" width="22.0"/>
  </cols>
  <sheetData>
    <row r="1" ht="22.5" customHeight="1">
      <c r="A1" s="12" t="s">
        <v>13</v>
      </c>
      <c r="B1" s="14" t="s">
        <v>19</v>
      </c>
      <c r="C1" s="14" t="s">
        <v>22</v>
      </c>
      <c r="D1" s="14" t="s">
        <v>25</v>
      </c>
      <c r="E1" s="17" t="s">
        <v>28</v>
      </c>
      <c r="F1" s="18"/>
      <c r="G1" s="18"/>
      <c r="H1" s="18"/>
      <c r="I1" s="18"/>
      <c r="J1" s="18"/>
      <c r="K1" s="18"/>
      <c r="L1" s="18"/>
      <c r="M1" s="18"/>
      <c r="N1" s="18"/>
      <c r="O1" s="18"/>
      <c r="P1" s="18"/>
      <c r="Q1" s="18"/>
      <c r="R1" s="18"/>
      <c r="S1" s="18"/>
      <c r="T1" s="18"/>
      <c r="U1" s="18"/>
      <c r="V1" s="18"/>
      <c r="W1" s="18"/>
      <c r="X1" s="18"/>
      <c r="Y1" s="18"/>
      <c r="Z1" s="18"/>
    </row>
    <row r="2" ht="22.5" customHeight="1">
      <c r="A2" s="22" t="s">
        <v>33</v>
      </c>
      <c r="B2" s="23" t="s">
        <v>36</v>
      </c>
      <c r="C2" s="24">
        <v>1.0</v>
      </c>
      <c r="D2" s="25">
        <v>6000000.0</v>
      </c>
      <c r="E2" s="26" t="s">
        <v>38</v>
      </c>
      <c r="F2" s="18"/>
      <c r="G2" s="18"/>
      <c r="H2" s="18"/>
      <c r="I2" s="18"/>
      <c r="J2" s="18"/>
      <c r="K2" s="18"/>
      <c r="L2" s="18"/>
      <c r="M2" s="18"/>
      <c r="N2" s="18"/>
      <c r="O2" s="18"/>
      <c r="P2" s="18"/>
      <c r="Q2" s="18"/>
      <c r="R2" s="18"/>
      <c r="S2" s="18"/>
      <c r="T2" s="18"/>
      <c r="U2" s="18"/>
      <c r="V2" s="18"/>
      <c r="W2" s="18"/>
      <c r="X2" s="18"/>
      <c r="Y2" s="18"/>
      <c r="Z2" s="18"/>
    </row>
    <row r="3" ht="22.5" customHeight="1">
      <c r="A3" s="28" t="s">
        <v>39</v>
      </c>
      <c r="B3" s="29" t="s">
        <v>36</v>
      </c>
      <c r="C3" s="31">
        <v>1.0</v>
      </c>
      <c r="D3" s="32">
        <v>7000000.0</v>
      </c>
      <c r="E3" s="33" t="s">
        <v>40</v>
      </c>
      <c r="F3" s="18"/>
      <c r="G3" s="18"/>
      <c r="H3" s="18"/>
      <c r="I3" s="18"/>
      <c r="J3" s="18"/>
      <c r="K3" s="18"/>
      <c r="L3" s="18"/>
      <c r="M3" s="18"/>
      <c r="N3" s="18"/>
      <c r="O3" s="18"/>
      <c r="P3" s="18"/>
      <c r="Q3" s="18"/>
      <c r="R3" s="18"/>
      <c r="S3" s="18"/>
      <c r="T3" s="18"/>
      <c r="U3" s="18"/>
      <c r="V3" s="18"/>
      <c r="W3" s="18"/>
      <c r="X3" s="18"/>
      <c r="Y3" s="18"/>
      <c r="Z3" s="18"/>
    </row>
    <row r="4" ht="22.5" customHeight="1">
      <c r="A4" s="22" t="s">
        <v>41</v>
      </c>
      <c r="B4" s="23" t="s">
        <v>42</v>
      </c>
      <c r="C4" s="24">
        <v>1.0</v>
      </c>
      <c r="D4" s="25">
        <v>1200000.0</v>
      </c>
      <c r="E4" s="26" t="s">
        <v>43</v>
      </c>
      <c r="F4" s="18"/>
      <c r="G4" s="18"/>
      <c r="H4" s="18"/>
      <c r="I4" s="18"/>
      <c r="J4" s="18"/>
      <c r="K4" s="18"/>
      <c r="L4" s="18"/>
      <c r="M4" s="18"/>
      <c r="N4" s="18"/>
      <c r="O4" s="18"/>
      <c r="P4" s="18"/>
      <c r="Q4" s="18"/>
      <c r="R4" s="18"/>
      <c r="S4" s="18"/>
      <c r="T4" s="18"/>
      <c r="U4" s="18"/>
      <c r="V4" s="18"/>
      <c r="W4" s="18"/>
      <c r="X4" s="18"/>
      <c r="Y4" s="18"/>
      <c r="Z4" s="18"/>
    </row>
    <row r="5" ht="22.5" customHeight="1">
      <c r="A5" s="28" t="s">
        <v>45</v>
      </c>
      <c r="B5" s="29" t="s">
        <v>42</v>
      </c>
      <c r="C5" s="31">
        <v>1.0</v>
      </c>
      <c r="D5" s="32">
        <v>1200000.0</v>
      </c>
      <c r="E5" s="33" t="s">
        <v>47</v>
      </c>
      <c r="F5" s="18"/>
      <c r="G5" s="18"/>
      <c r="H5" s="18"/>
      <c r="I5" s="18"/>
      <c r="J5" s="18"/>
      <c r="K5" s="18"/>
      <c r="L5" s="18"/>
      <c r="M5" s="18"/>
      <c r="N5" s="18"/>
      <c r="O5" s="18"/>
      <c r="P5" s="18"/>
      <c r="Q5" s="18"/>
      <c r="R5" s="18"/>
      <c r="S5" s="18"/>
      <c r="T5" s="18"/>
      <c r="U5" s="18"/>
      <c r="V5" s="18"/>
      <c r="W5" s="18"/>
      <c r="X5" s="18"/>
      <c r="Y5" s="18"/>
      <c r="Z5" s="18"/>
    </row>
    <row r="6" ht="22.5" customHeight="1">
      <c r="A6" s="22" t="s">
        <v>50</v>
      </c>
      <c r="B6" s="23" t="s">
        <v>42</v>
      </c>
      <c r="C6" s="24">
        <v>1.0</v>
      </c>
      <c r="D6" s="25">
        <v>1200000.0</v>
      </c>
      <c r="E6" s="26" t="s">
        <v>51</v>
      </c>
      <c r="F6" s="18"/>
      <c r="G6" s="18"/>
      <c r="H6" s="18"/>
      <c r="I6" s="18"/>
      <c r="J6" s="18"/>
      <c r="K6" s="18"/>
      <c r="L6" s="18"/>
      <c r="M6" s="18"/>
      <c r="N6" s="18"/>
      <c r="O6" s="18"/>
      <c r="P6" s="18"/>
      <c r="Q6" s="18"/>
      <c r="R6" s="18"/>
      <c r="S6" s="18"/>
      <c r="T6" s="18"/>
      <c r="U6" s="18"/>
      <c r="V6" s="18"/>
      <c r="W6" s="18"/>
      <c r="X6" s="18"/>
      <c r="Y6" s="18"/>
      <c r="Z6" s="18"/>
    </row>
    <row r="7" ht="22.5" customHeight="1">
      <c r="A7" s="28" t="s">
        <v>52</v>
      </c>
      <c r="B7" s="29" t="s">
        <v>42</v>
      </c>
      <c r="C7" s="31">
        <v>1.0</v>
      </c>
      <c r="D7" s="32">
        <v>800000.0</v>
      </c>
      <c r="E7" s="33" t="s">
        <v>53</v>
      </c>
      <c r="F7" s="18"/>
      <c r="G7" s="18"/>
      <c r="H7" s="18"/>
      <c r="I7" s="18"/>
      <c r="J7" s="18"/>
      <c r="K7" s="18"/>
      <c r="L7" s="18"/>
      <c r="M7" s="18"/>
      <c r="N7" s="18"/>
      <c r="O7" s="18"/>
      <c r="P7" s="18"/>
      <c r="Q7" s="18"/>
      <c r="R7" s="18"/>
      <c r="S7" s="18"/>
      <c r="T7" s="18"/>
      <c r="U7" s="18"/>
      <c r="V7" s="18"/>
      <c r="W7" s="18"/>
      <c r="X7" s="18"/>
      <c r="Y7" s="18"/>
      <c r="Z7" s="18"/>
    </row>
    <row r="8" ht="22.5" customHeight="1">
      <c r="A8" s="22" t="s">
        <v>54</v>
      </c>
      <c r="B8" s="23" t="s">
        <v>36</v>
      </c>
      <c r="C8" s="24">
        <v>1.0</v>
      </c>
      <c r="D8" s="25">
        <v>6000000.0</v>
      </c>
      <c r="E8" s="26" t="s">
        <v>55</v>
      </c>
      <c r="F8" s="18"/>
      <c r="G8" s="18"/>
      <c r="H8" s="18"/>
      <c r="I8" s="18"/>
      <c r="J8" s="18"/>
      <c r="K8" s="18"/>
      <c r="L8" s="18"/>
      <c r="M8" s="18"/>
      <c r="N8" s="18"/>
      <c r="O8" s="18"/>
      <c r="P8" s="18"/>
      <c r="Q8" s="18"/>
      <c r="R8" s="18"/>
      <c r="S8" s="18"/>
      <c r="T8" s="18"/>
      <c r="U8" s="18"/>
      <c r="V8" s="18"/>
      <c r="W8" s="18"/>
      <c r="X8" s="18"/>
      <c r="Y8" s="18"/>
      <c r="Z8" s="18"/>
    </row>
    <row r="9" ht="22.5" customHeight="1">
      <c r="A9" s="28" t="s">
        <v>57</v>
      </c>
      <c r="B9" s="29" t="s">
        <v>36</v>
      </c>
      <c r="C9" s="31">
        <v>1.0</v>
      </c>
      <c r="D9" s="32">
        <v>800000.0</v>
      </c>
      <c r="E9" s="33" t="s">
        <v>60</v>
      </c>
      <c r="F9" s="18"/>
      <c r="G9" s="18"/>
      <c r="H9" s="18"/>
      <c r="I9" s="18"/>
      <c r="J9" s="18"/>
      <c r="K9" s="18"/>
      <c r="L9" s="18"/>
      <c r="M9" s="18"/>
      <c r="N9" s="18"/>
      <c r="O9" s="18"/>
      <c r="P9" s="18"/>
      <c r="Q9" s="18"/>
      <c r="R9" s="18"/>
      <c r="S9" s="18"/>
      <c r="T9" s="18"/>
      <c r="U9" s="18"/>
      <c r="V9" s="18"/>
      <c r="W9" s="18"/>
      <c r="X9" s="18"/>
      <c r="Y9" s="18"/>
      <c r="Z9" s="18"/>
    </row>
    <row r="10" ht="22.5" customHeight="1">
      <c r="A10" s="40" t="s">
        <v>61</v>
      </c>
      <c r="B10" s="23" t="s">
        <v>42</v>
      </c>
      <c r="C10" s="24">
        <v>1.0</v>
      </c>
      <c r="D10" s="25">
        <v>500000.0</v>
      </c>
      <c r="E10" s="26" t="s">
        <v>62</v>
      </c>
      <c r="F10" s="18"/>
      <c r="G10" s="18"/>
      <c r="H10" s="18"/>
      <c r="I10" s="18"/>
      <c r="J10" s="18"/>
      <c r="K10" s="18"/>
      <c r="L10" s="18"/>
      <c r="M10" s="18"/>
      <c r="N10" s="18"/>
      <c r="O10" s="18"/>
      <c r="P10" s="18"/>
      <c r="Q10" s="18"/>
      <c r="R10" s="18"/>
      <c r="S10" s="18"/>
      <c r="T10" s="18"/>
      <c r="U10" s="18"/>
      <c r="V10" s="18"/>
      <c r="W10" s="18"/>
      <c r="X10" s="18"/>
      <c r="Y10" s="18"/>
      <c r="Z10" s="18"/>
    </row>
    <row r="11" ht="22.5" customHeight="1">
      <c r="A11" s="42" t="s">
        <v>63</v>
      </c>
      <c r="B11" s="29" t="s">
        <v>42</v>
      </c>
      <c r="C11" s="31">
        <v>1.0</v>
      </c>
      <c r="D11" s="32">
        <v>500000.0</v>
      </c>
      <c r="E11" s="33" t="s">
        <v>64</v>
      </c>
      <c r="F11" s="18"/>
      <c r="G11" s="18"/>
      <c r="H11" s="18"/>
      <c r="I11" s="18"/>
      <c r="J11" s="18"/>
      <c r="K11" s="18"/>
      <c r="L11" s="18"/>
      <c r="M11" s="18"/>
      <c r="N11" s="18"/>
      <c r="O11" s="18"/>
      <c r="P11" s="18"/>
      <c r="Q11" s="18"/>
      <c r="R11" s="18"/>
      <c r="S11" s="18"/>
      <c r="T11" s="18"/>
      <c r="U11" s="18"/>
      <c r="V11" s="18"/>
      <c r="W11" s="18"/>
      <c r="X11" s="18"/>
      <c r="Y11" s="18"/>
      <c r="Z11" s="18"/>
    </row>
    <row r="12" ht="22.5" customHeight="1">
      <c r="A12" s="40" t="s">
        <v>65</v>
      </c>
      <c r="B12" s="23" t="s">
        <v>36</v>
      </c>
      <c r="C12" s="24">
        <v>1.0</v>
      </c>
      <c r="D12" s="25">
        <v>1800.0</v>
      </c>
      <c r="E12" s="26" t="s">
        <v>66</v>
      </c>
      <c r="F12" s="18"/>
      <c r="G12" s="18"/>
      <c r="H12" s="18"/>
      <c r="I12" s="18"/>
      <c r="J12" s="18"/>
      <c r="K12" s="18"/>
      <c r="L12" s="18"/>
      <c r="M12" s="18"/>
      <c r="N12" s="18"/>
      <c r="O12" s="18"/>
      <c r="P12" s="18"/>
      <c r="Q12" s="18"/>
      <c r="R12" s="18"/>
      <c r="S12" s="18"/>
      <c r="T12" s="18"/>
      <c r="U12" s="18"/>
      <c r="V12" s="18"/>
      <c r="W12" s="18"/>
      <c r="X12" s="18"/>
      <c r="Y12" s="18"/>
      <c r="Z12" s="18"/>
    </row>
    <row r="13" ht="22.5" customHeight="1">
      <c r="A13" s="42" t="s">
        <v>67</v>
      </c>
      <c r="B13" s="29" t="s">
        <v>36</v>
      </c>
      <c r="C13" s="31">
        <v>1.0</v>
      </c>
      <c r="D13" s="32">
        <v>800000.0</v>
      </c>
      <c r="E13" s="43"/>
      <c r="F13" s="18"/>
      <c r="G13" s="18"/>
      <c r="H13" s="18"/>
      <c r="I13" s="18"/>
      <c r="J13" s="18"/>
      <c r="K13" s="18"/>
      <c r="L13" s="18"/>
      <c r="M13" s="18"/>
      <c r="N13" s="18"/>
      <c r="O13" s="18"/>
      <c r="P13" s="18"/>
      <c r="Q13" s="18"/>
      <c r="R13" s="18"/>
      <c r="S13" s="18"/>
      <c r="T13" s="18"/>
      <c r="U13" s="18"/>
      <c r="V13" s="18"/>
      <c r="W13" s="18"/>
      <c r="X13" s="18"/>
      <c r="Y13" s="18"/>
      <c r="Z13" s="18"/>
    </row>
    <row r="14" ht="22.5" customHeight="1">
      <c r="A14" s="44" t="s">
        <v>68</v>
      </c>
      <c r="B14" s="23" t="s">
        <v>42</v>
      </c>
      <c r="C14" s="24">
        <v>1.0</v>
      </c>
      <c r="D14" s="25">
        <v>1800000.0</v>
      </c>
      <c r="E14" s="45"/>
      <c r="F14" s="18"/>
      <c r="G14" s="18"/>
      <c r="H14" s="18"/>
      <c r="I14" s="18"/>
      <c r="J14" s="18"/>
      <c r="K14" s="18"/>
      <c r="L14" s="18"/>
      <c r="M14" s="18"/>
      <c r="N14" s="18"/>
      <c r="O14" s="18"/>
      <c r="P14" s="18"/>
      <c r="Q14" s="18"/>
      <c r="R14" s="18"/>
      <c r="S14" s="18"/>
      <c r="T14" s="18"/>
      <c r="U14" s="18"/>
      <c r="V14" s="18"/>
      <c r="W14" s="18"/>
      <c r="X14" s="18"/>
      <c r="Y14" s="18"/>
      <c r="Z14" s="18"/>
    </row>
    <row r="15" ht="22.5" customHeight="1">
      <c r="A15" s="42" t="s">
        <v>72</v>
      </c>
      <c r="B15" s="29" t="s">
        <v>42</v>
      </c>
      <c r="C15" s="31">
        <v>1.0</v>
      </c>
      <c r="D15" s="32">
        <v>800000.0</v>
      </c>
      <c r="E15" s="43"/>
      <c r="F15" s="18"/>
      <c r="G15" s="18"/>
      <c r="H15" s="18"/>
      <c r="I15" s="18"/>
      <c r="J15" s="18"/>
      <c r="K15" s="18"/>
      <c r="L15" s="18"/>
      <c r="M15" s="18"/>
      <c r="N15" s="18"/>
      <c r="O15" s="18"/>
      <c r="P15" s="18"/>
      <c r="Q15" s="18"/>
      <c r="R15" s="18"/>
      <c r="S15" s="18"/>
      <c r="T15" s="18"/>
      <c r="U15" s="18"/>
      <c r="V15" s="18"/>
      <c r="W15" s="18"/>
      <c r="X15" s="18"/>
      <c r="Y15" s="18"/>
      <c r="Z15" s="18"/>
    </row>
    <row r="16" ht="22.5" customHeight="1">
      <c r="A16" s="40" t="s">
        <v>74</v>
      </c>
      <c r="B16" s="23" t="s">
        <v>36</v>
      </c>
      <c r="C16" s="24">
        <v>1.0</v>
      </c>
      <c r="D16" s="25">
        <v>800000.0</v>
      </c>
      <c r="E16" s="45"/>
      <c r="F16" s="18"/>
      <c r="G16" s="18"/>
      <c r="H16" s="18"/>
      <c r="I16" s="18"/>
      <c r="J16" s="18"/>
      <c r="K16" s="18"/>
      <c r="L16" s="18"/>
      <c r="M16" s="18"/>
      <c r="N16" s="18"/>
      <c r="O16" s="18"/>
      <c r="P16" s="18"/>
      <c r="Q16" s="18"/>
      <c r="R16" s="18"/>
      <c r="S16" s="18"/>
      <c r="T16" s="18"/>
      <c r="U16" s="18"/>
      <c r="V16" s="18"/>
      <c r="W16" s="18"/>
      <c r="X16" s="18"/>
      <c r="Y16" s="18"/>
      <c r="Z16" s="18"/>
    </row>
    <row r="17" ht="22.5" customHeight="1">
      <c r="A17" s="42" t="s">
        <v>75</v>
      </c>
      <c r="B17" s="29" t="s">
        <v>76</v>
      </c>
      <c r="C17" s="31">
        <v>1.0</v>
      </c>
      <c r="D17" s="32">
        <v>600000.0</v>
      </c>
      <c r="E17" s="43"/>
      <c r="F17" s="18"/>
      <c r="G17" s="18"/>
      <c r="H17" s="18"/>
      <c r="I17" s="18"/>
      <c r="J17" s="18"/>
      <c r="K17" s="18"/>
      <c r="L17" s="18"/>
      <c r="M17" s="18"/>
      <c r="N17" s="18"/>
      <c r="O17" s="18"/>
      <c r="P17" s="18"/>
      <c r="Q17" s="18"/>
      <c r="R17" s="18"/>
      <c r="S17" s="18"/>
      <c r="T17" s="18"/>
      <c r="U17" s="18"/>
      <c r="V17" s="18"/>
      <c r="W17" s="18"/>
      <c r="X17" s="18"/>
      <c r="Y17" s="18"/>
      <c r="Z17" s="18"/>
    </row>
    <row r="18" ht="22.5" customHeight="1">
      <c r="A18" s="40" t="s">
        <v>77</v>
      </c>
      <c r="B18" s="23" t="s">
        <v>76</v>
      </c>
      <c r="C18" s="24">
        <v>1.0</v>
      </c>
      <c r="D18" s="25">
        <v>700000.0</v>
      </c>
      <c r="E18" s="45"/>
      <c r="F18" s="18"/>
      <c r="G18" s="18"/>
      <c r="H18" s="18"/>
      <c r="I18" s="18"/>
      <c r="J18" s="18"/>
      <c r="K18" s="18"/>
      <c r="L18" s="18"/>
      <c r="M18" s="18"/>
      <c r="N18" s="18"/>
      <c r="O18" s="18"/>
      <c r="P18" s="18"/>
      <c r="Q18" s="18"/>
      <c r="R18" s="18"/>
      <c r="S18" s="18"/>
      <c r="T18" s="18"/>
      <c r="U18" s="18"/>
      <c r="V18" s="18"/>
      <c r="W18" s="18"/>
      <c r="X18" s="18"/>
      <c r="Y18" s="18"/>
      <c r="Z18" s="18"/>
    </row>
    <row r="19" ht="22.5" customHeight="1">
      <c r="A19" s="42" t="s">
        <v>78</v>
      </c>
      <c r="B19" s="29" t="s">
        <v>36</v>
      </c>
      <c r="C19" s="31">
        <v>1.0</v>
      </c>
      <c r="D19" s="32">
        <v>200000.0</v>
      </c>
      <c r="E19" s="43"/>
      <c r="F19" s="18"/>
      <c r="G19" s="18"/>
      <c r="H19" s="18"/>
      <c r="I19" s="18"/>
      <c r="J19" s="18"/>
      <c r="K19" s="18"/>
      <c r="L19" s="18"/>
      <c r="M19" s="18"/>
      <c r="N19" s="18"/>
      <c r="O19" s="18"/>
      <c r="P19" s="18"/>
      <c r="Q19" s="18"/>
      <c r="R19" s="18"/>
      <c r="S19" s="18"/>
      <c r="T19" s="18"/>
      <c r="U19" s="18"/>
      <c r="V19" s="18"/>
      <c r="W19" s="18"/>
      <c r="X19" s="18"/>
      <c r="Y19" s="18"/>
      <c r="Z19" s="18"/>
    </row>
    <row r="20" ht="22.5" customHeight="1">
      <c r="A20" s="40" t="s">
        <v>81</v>
      </c>
      <c r="B20" s="23" t="s">
        <v>42</v>
      </c>
      <c r="C20" s="24">
        <v>1.0</v>
      </c>
      <c r="D20" s="25">
        <v>8000000.0</v>
      </c>
      <c r="E20" s="45"/>
      <c r="F20" s="18"/>
      <c r="G20" s="18"/>
      <c r="H20" s="18"/>
      <c r="I20" s="18"/>
      <c r="J20" s="18"/>
      <c r="K20" s="18"/>
      <c r="L20" s="18"/>
      <c r="M20" s="18"/>
      <c r="N20" s="18"/>
      <c r="O20" s="18"/>
      <c r="P20" s="18"/>
      <c r="Q20" s="18"/>
      <c r="R20" s="18"/>
      <c r="S20" s="18"/>
      <c r="T20" s="18"/>
      <c r="U20" s="18"/>
      <c r="V20" s="18"/>
      <c r="W20" s="18"/>
      <c r="X20" s="18"/>
      <c r="Y20" s="18"/>
      <c r="Z20" s="18"/>
    </row>
    <row r="21" ht="22.5" customHeight="1">
      <c r="A21" s="42" t="s">
        <v>84</v>
      </c>
      <c r="B21" s="29" t="s">
        <v>36</v>
      </c>
      <c r="C21" s="31">
        <v>1.0</v>
      </c>
      <c r="D21" s="32">
        <v>1000000.0</v>
      </c>
      <c r="E21" s="43"/>
      <c r="F21" s="18"/>
      <c r="G21" s="18"/>
      <c r="H21" s="18"/>
      <c r="I21" s="18"/>
      <c r="J21" s="18"/>
      <c r="K21" s="18"/>
      <c r="L21" s="18"/>
      <c r="M21" s="18"/>
      <c r="N21" s="18"/>
      <c r="O21" s="18"/>
      <c r="P21" s="18"/>
      <c r="Q21" s="18"/>
      <c r="R21" s="18"/>
      <c r="S21" s="18"/>
      <c r="T21" s="18"/>
      <c r="U21" s="18"/>
      <c r="V21" s="18"/>
      <c r="W21" s="18"/>
      <c r="X21" s="18"/>
      <c r="Y21" s="18"/>
      <c r="Z21" s="18"/>
    </row>
    <row r="22" ht="22.5" customHeight="1">
      <c r="A22" s="22" t="s">
        <v>85</v>
      </c>
      <c r="B22" s="23" t="s">
        <v>36</v>
      </c>
      <c r="C22" s="24">
        <v>1.0</v>
      </c>
      <c r="D22" s="25">
        <v>500000.0</v>
      </c>
      <c r="E22" s="45"/>
      <c r="F22" s="18"/>
      <c r="G22" s="18"/>
      <c r="H22" s="18"/>
      <c r="I22" s="18"/>
      <c r="J22" s="18"/>
      <c r="K22" s="18"/>
      <c r="L22" s="18"/>
      <c r="M22" s="18"/>
      <c r="N22" s="18"/>
      <c r="O22" s="18"/>
      <c r="P22" s="18"/>
      <c r="Q22" s="18"/>
      <c r="R22" s="18"/>
      <c r="S22" s="18"/>
      <c r="T22" s="18"/>
      <c r="U22" s="18"/>
      <c r="V22" s="18"/>
      <c r="W22" s="18"/>
      <c r="X22" s="18"/>
      <c r="Y22" s="18"/>
      <c r="Z22" s="18"/>
    </row>
    <row r="23" ht="22.5" customHeight="1">
      <c r="A23" s="28" t="s">
        <v>86</v>
      </c>
      <c r="B23" s="29" t="s">
        <v>87</v>
      </c>
      <c r="C23" s="31">
        <v>1.0</v>
      </c>
      <c r="D23" s="32">
        <v>500000.0</v>
      </c>
      <c r="E23" s="43"/>
      <c r="F23" s="18"/>
      <c r="G23" s="18"/>
      <c r="H23" s="18"/>
      <c r="I23" s="18"/>
      <c r="J23" s="18"/>
      <c r="K23" s="18"/>
      <c r="L23" s="18"/>
      <c r="M23" s="18"/>
      <c r="N23" s="18"/>
      <c r="O23" s="18"/>
      <c r="P23" s="18"/>
      <c r="Q23" s="18"/>
      <c r="R23" s="18"/>
      <c r="S23" s="18"/>
      <c r="T23" s="18"/>
      <c r="U23" s="18"/>
      <c r="V23" s="18"/>
      <c r="W23" s="18"/>
      <c r="X23" s="18"/>
      <c r="Y23" s="18"/>
      <c r="Z23" s="18"/>
    </row>
    <row r="24" ht="22.5" customHeight="1">
      <c r="A24" s="22" t="s">
        <v>80</v>
      </c>
      <c r="B24" s="23" t="s">
        <v>88</v>
      </c>
      <c r="C24" s="24">
        <v>1.0</v>
      </c>
      <c r="D24" s="25">
        <v>5000000.0</v>
      </c>
      <c r="E24" s="45"/>
      <c r="F24" s="18"/>
      <c r="G24" s="18"/>
      <c r="H24" s="18"/>
      <c r="I24" s="18"/>
      <c r="J24" s="18"/>
      <c r="K24" s="18"/>
      <c r="L24" s="18"/>
      <c r="M24" s="18"/>
      <c r="N24" s="18"/>
      <c r="O24" s="18"/>
      <c r="P24" s="18"/>
      <c r="Q24" s="18"/>
      <c r="R24" s="18"/>
      <c r="S24" s="18"/>
      <c r="T24" s="18"/>
      <c r="U24" s="18"/>
      <c r="V24" s="18"/>
      <c r="W24" s="18"/>
      <c r="X24" s="18"/>
      <c r="Y24" s="18"/>
      <c r="Z24" s="18"/>
    </row>
    <row r="25" ht="22.5" customHeight="1">
      <c r="A25" s="28" t="s">
        <v>89</v>
      </c>
      <c r="B25" s="29" t="s">
        <v>88</v>
      </c>
      <c r="C25" s="31">
        <v>1.0</v>
      </c>
      <c r="D25" s="32">
        <v>300000.0</v>
      </c>
      <c r="E25" s="43"/>
      <c r="F25" s="18"/>
      <c r="G25" s="18"/>
      <c r="H25" s="18"/>
      <c r="I25" s="18"/>
      <c r="J25" s="18"/>
      <c r="K25" s="18"/>
      <c r="L25" s="18"/>
      <c r="M25" s="18"/>
      <c r="N25" s="18"/>
      <c r="O25" s="18"/>
      <c r="P25" s="18"/>
      <c r="Q25" s="18"/>
      <c r="R25" s="18"/>
      <c r="S25" s="18"/>
      <c r="T25" s="18"/>
      <c r="U25" s="18"/>
      <c r="V25" s="18"/>
      <c r="W25" s="18"/>
      <c r="X25" s="18"/>
      <c r="Y25" s="18"/>
      <c r="Z25" s="18"/>
    </row>
    <row r="26" ht="22.5" customHeight="1">
      <c r="A26" s="22" t="s">
        <v>94</v>
      </c>
      <c r="B26" s="23" t="s">
        <v>88</v>
      </c>
      <c r="C26" s="24">
        <v>1.0</v>
      </c>
      <c r="D26" s="25">
        <v>1000000.0</v>
      </c>
      <c r="E26" s="45"/>
      <c r="F26" s="18"/>
      <c r="G26" s="18"/>
      <c r="H26" s="18"/>
      <c r="I26" s="18"/>
      <c r="J26" s="18"/>
      <c r="K26" s="18"/>
      <c r="L26" s="18"/>
      <c r="M26" s="18"/>
      <c r="N26" s="18"/>
      <c r="O26" s="18"/>
      <c r="P26" s="18"/>
      <c r="Q26" s="18"/>
      <c r="R26" s="18"/>
      <c r="S26" s="18"/>
      <c r="T26" s="18"/>
      <c r="U26" s="18"/>
      <c r="V26" s="18"/>
      <c r="W26" s="18"/>
      <c r="X26" s="18"/>
      <c r="Y26" s="18"/>
      <c r="Z26" s="18"/>
    </row>
    <row r="27" ht="22.5" customHeight="1">
      <c r="A27" s="28" t="s">
        <v>95</v>
      </c>
      <c r="B27" s="29" t="s">
        <v>88</v>
      </c>
      <c r="C27" s="31">
        <v>1.0</v>
      </c>
      <c r="D27" s="32">
        <v>300000.0</v>
      </c>
      <c r="E27" s="43"/>
      <c r="F27" s="18"/>
      <c r="G27" s="18"/>
      <c r="H27" s="18"/>
      <c r="I27" s="18"/>
      <c r="J27" s="18"/>
      <c r="K27" s="18"/>
      <c r="L27" s="18"/>
      <c r="M27" s="18"/>
      <c r="N27" s="18"/>
      <c r="O27" s="18"/>
      <c r="P27" s="18"/>
      <c r="Q27" s="18"/>
      <c r="R27" s="18"/>
      <c r="S27" s="18"/>
      <c r="T27" s="18"/>
      <c r="U27" s="18"/>
      <c r="V27" s="18"/>
      <c r="W27" s="18"/>
      <c r="X27" s="18"/>
      <c r="Y27" s="18"/>
      <c r="Z27" s="18"/>
    </row>
    <row r="28" ht="22.5" customHeight="1">
      <c r="A28" s="22" t="s">
        <v>96</v>
      </c>
      <c r="B28" s="23" t="s">
        <v>88</v>
      </c>
      <c r="C28" s="24">
        <v>1.0</v>
      </c>
      <c r="D28" s="25">
        <v>1000000.0</v>
      </c>
      <c r="E28" s="45"/>
      <c r="F28" s="18"/>
      <c r="G28" s="18"/>
      <c r="H28" s="18"/>
      <c r="I28" s="18"/>
      <c r="J28" s="18"/>
      <c r="K28" s="18"/>
      <c r="L28" s="18"/>
      <c r="M28" s="18"/>
      <c r="N28" s="18"/>
      <c r="O28" s="18"/>
      <c r="P28" s="18"/>
      <c r="Q28" s="18"/>
      <c r="R28" s="18"/>
      <c r="S28" s="18"/>
      <c r="T28" s="18"/>
      <c r="U28" s="18"/>
      <c r="V28" s="18"/>
      <c r="W28" s="18"/>
      <c r="X28" s="18"/>
      <c r="Y28" s="18"/>
      <c r="Z28" s="18"/>
    </row>
    <row r="29" ht="22.5" customHeight="1">
      <c r="A29" s="28" t="s">
        <v>97</v>
      </c>
      <c r="B29" s="29" t="s">
        <v>88</v>
      </c>
      <c r="C29" s="31">
        <v>1.0</v>
      </c>
      <c r="D29" s="32">
        <v>300000.0</v>
      </c>
      <c r="E29" s="43"/>
      <c r="F29" s="18"/>
      <c r="G29" s="18"/>
      <c r="H29" s="18"/>
      <c r="I29" s="18"/>
      <c r="J29" s="18"/>
      <c r="K29" s="18"/>
      <c r="L29" s="18"/>
      <c r="M29" s="18"/>
      <c r="N29" s="18"/>
      <c r="O29" s="18"/>
      <c r="P29" s="18"/>
      <c r="Q29" s="18"/>
      <c r="R29" s="18"/>
      <c r="S29" s="18"/>
      <c r="T29" s="18"/>
      <c r="U29" s="18"/>
      <c r="V29" s="18"/>
      <c r="W29" s="18"/>
      <c r="X29" s="18"/>
      <c r="Y29" s="18"/>
      <c r="Z29" s="18"/>
    </row>
    <row r="30" ht="22.5" customHeight="1">
      <c r="A30" s="22" t="s">
        <v>31</v>
      </c>
      <c r="B30" s="23" t="s">
        <v>88</v>
      </c>
      <c r="C30" s="24">
        <v>1.0</v>
      </c>
      <c r="D30" s="25">
        <v>900000.0</v>
      </c>
      <c r="E30" s="45"/>
      <c r="F30" s="18"/>
      <c r="G30" s="18"/>
      <c r="H30" s="18"/>
      <c r="I30" s="18"/>
      <c r="J30" s="18"/>
      <c r="K30" s="18"/>
      <c r="L30" s="18"/>
      <c r="M30" s="18"/>
      <c r="N30" s="18"/>
      <c r="O30" s="18"/>
      <c r="P30" s="18"/>
      <c r="Q30" s="18"/>
      <c r="R30" s="18"/>
      <c r="S30" s="18"/>
      <c r="T30" s="18"/>
      <c r="U30" s="18"/>
      <c r="V30" s="18"/>
      <c r="W30" s="18"/>
      <c r="X30" s="18"/>
      <c r="Y30" s="18"/>
      <c r="Z30" s="18"/>
    </row>
    <row r="31" ht="22.5" customHeight="1">
      <c r="A31" s="28" t="s">
        <v>70</v>
      </c>
      <c r="B31" s="29" t="s">
        <v>88</v>
      </c>
      <c r="C31" s="31">
        <v>1.0</v>
      </c>
      <c r="D31" s="32">
        <v>800000.0</v>
      </c>
      <c r="E31" s="43"/>
      <c r="F31" s="18"/>
      <c r="G31" s="18"/>
      <c r="H31" s="18"/>
      <c r="I31" s="18"/>
      <c r="J31" s="18"/>
      <c r="K31" s="18"/>
      <c r="L31" s="18"/>
      <c r="M31" s="18"/>
      <c r="N31" s="18"/>
      <c r="O31" s="18"/>
      <c r="P31" s="18"/>
      <c r="Q31" s="18"/>
      <c r="R31" s="18"/>
      <c r="S31" s="18"/>
      <c r="T31" s="18"/>
      <c r="U31" s="18"/>
      <c r="V31" s="18"/>
      <c r="W31" s="18"/>
      <c r="X31" s="18"/>
      <c r="Y31" s="18"/>
      <c r="Z31" s="18"/>
    </row>
    <row r="32" ht="22.5" customHeight="1">
      <c r="A32" s="22" t="s">
        <v>102</v>
      </c>
      <c r="B32" s="23" t="s">
        <v>88</v>
      </c>
      <c r="C32" s="24">
        <v>1.0</v>
      </c>
      <c r="D32" s="25">
        <v>800000.0</v>
      </c>
      <c r="E32" s="45"/>
      <c r="F32" s="18"/>
      <c r="G32" s="18"/>
      <c r="H32" s="18"/>
      <c r="I32" s="18"/>
      <c r="J32" s="18"/>
      <c r="K32" s="18"/>
      <c r="L32" s="18"/>
      <c r="M32" s="18"/>
      <c r="N32" s="18"/>
      <c r="O32" s="18"/>
      <c r="P32" s="18"/>
      <c r="Q32" s="18"/>
      <c r="R32" s="18"/>
      <c r="S32" s="18"/>
      <c r="T32" s="18"/>
      <c r="U32" s="18"/>
      <c r="V32" s="18"/>
      <c r="W32" s="18"/>
      <c r="X32" s="18"/>
      <c r="Y32" s="18"/>
      <c r="Z32" s="18"/>
    </row>
    <row r="33" ht="22.5" customHeight="1">
      <c r="A33" s="28" t="s">
        <v>103</v>
      </c>
      <c r="B33" s="29" t="s">
        <v>88</v>
      </c>
      <c r="C33" s="31">
        <v>1.0</v>
      </c>
      <c r="D33" s="32">
        <v>1000000.0</v>
      </c>
      <c r="E33" s="43"/>
      <c r="F33" s="18"/>
      <c r="G33" s="18"/>
      <c r="H33" s="18"/>
      <c r="I33" s="18"/>
      <c r="J33" s="18"/>
      <c r="K33" s="18"/>
      <c r="L33" s="18"/>
      <c r="M33" s="18"/>
      <c r="N33" s="18"/>
      <c r="O33" s="18"/>
      <c r="P33" s="18"/>
      <c r="Q33" s="18"/>
      <c r="R33" s="18"/>
      <c r="S33" s="18"/>
      <c r="T33" s="18"/>
      <c r="U33" s="18"/>
      <c r="V33" s="18"/>
      <c r="W33" s="18"/>
      <c r="X33" s="18"/>
      <c r="Y33" s="18"/>
      <c r="Z33" s="18"/>
    </row>
    <row r="34" ht="22.5" customHeight="1">
      <c r="A34" s="22" t="s">
        <v>104</v>
      </c>
      <c r="B34" s="23" t="s">
        <v>88</v>
      </c>
      <c r="C34" s="24">
        <v>1.0</v>
      </c>
      <c r="D34" s="25">
        <v>300000.0</v>
      </c>
      <c r="E34" s="45"/>
      <c r="F34" s="18"/>
      <c r="G34" s="18"/>
      <c r="H34" s="18"/>
      <c r="I34" s="18"/>
      <c r="J34" s="18"/>
      <c r="K34" s="18"/>
      <c r="L34" s="18"/>
      <c r="M34" s="18"/>
      <c r="N34" s="18"/>
      <c r="O34" s="18"/>
      <c r="P34" s="18"/>
      <c r="Q34" s="18"/>
      <c r="R34" s="18"/>
      <c r="S34" s="18"/>
      <c r="T34" s="18"/>
      <c r="U34" s="18"/>
      <c r="V34" s="18"/>
      <c r="W34" s="18"/>
      <c r="X34" s="18"/>
      <c r="Y34" s="18"/>
      <c r="Z34" s="18"/>
    </row>
    <row r="35" ht="22.5" customHeight="1">
      <c r="A35" s="28" t="s">
        <v>105</v>
      </c>
      <c r="B35" s="29" t="s">
        <v>88</v>
      </c>
      <c r="C35" s="31">
        <v>1.0</v>
      </c>
      <c r="D35" s="32">
        <v>300000.0</v>
      </c>
      <c r="E35" s="43"/>
      <c r="F35" s="18"/>
      <c r="G35" s="18"/>
      <c r="H35" s="18"/>
      <c r="I35" s="18"/>
      <c r="J35" s="18"/>
      <c r="K35" s="18"/>
      <c r="L35" s="18"/>
      <c r="M35" s="18"/>
      <c r="N35" s="18"/>
      <c r="O35" s="18"/>
      <c r="P35" s="18"/>
      <c r="Q35" s="18"/>
      <c r="R35" s="18"/>
      <c r="S35" s="18"/>
      <c r="T35" s="18"/>
      <c r="U35" s="18"/>
      <c r="V35" s="18"/>
      <c r="W35" s="18"/>
      <c r="X35" s="18"/>
      <c r="Y35" s="18"/>
      <c r="Z35" s="18"/>
    </row>
    <row r="36" ht="22.5" customHeight="1">
      <c r="A36" s="22" t="s">
        <v>108</v>
      </c>
      <c r="B36" s="23" t="s">
        <v>88</v>
      </c>
      <c r="C36" s="24">
        <v>1.0</v>
      </c>
      <c r="D36" s="25">
        <v>1000000.0</v>
      </c>
      <c r="E36" s="45"/>
      <c r="F36" s="18"/>
      <c r="G36" s="18"/>
      <c r="H36" s="18"/>
      <c r="I36" s="18"/>
      <c r="J36" s="18"/>
      <c r="K36" s="18"/>
      <c r="L36" s="18"/>
      <c r="M36" s="18"/>
      <c r="N36" s="18"/>
      <c r="O36" s="18"/>
      <c r="P36" s="18"/>
      <c r="Q36" s="18"/>
      <c r="R36" s="18"/>
      <c r="S36" s="18"/>
      <c r="T36" s="18"/>
      <c r="U36" s="18"/>
      <c r="V36" s="18"/>
      <c r="W36" s="18"/>
      <c r="X36" s="18"/>
      <c r="Y36" s="18"/>
      <c r="Z36" s="18"/>
    </row>
    <row r="37" ht="22.5" customHeight="1">
      <c r="A37" s="28" t="s">
        <v>109</v>
      </c>
      <c r="B37" s="29" t="s">
        <v>88</v>
      </c>
      <c r="C37" s="31">
        <v>1.0</v>
      </c>
      <c r="D37" s="32">
        <v>0.0</v>
      </c>
      <c r="E37" s="43"/>
      <c r="F37" s="18"/>
      <c r="G37" s="18"/>
      <c r="H37" s="18"/>
      <c r="I37" s="18"/>
      <c r="J37" s="18"/>
      <c r="K37" s="18"/>
      <c r="L37" s="18"/>
      <c r="M37" s="18"/>
      <c r="N37" s="18"/>
      <c r="O37" s="18"/>
      <c r="P37" s="18"/>
      <c r="Q37" s="18"/>
      <c r="R37" s="18"/>
      <c r="S37" s="18"/>
      <c r="T37" s="18"/>
      <c r="U37" s="18"/>
      <c r="V37" s="18"/>
      <c r="W37" s="18"/>
      <c r="X37" s="18"/>
      <c r="Y37" s="18"/>
      <c r="Z37" s="18"/>
    </row>
    <row r="38" ht="22.5" customHeight="1">
      <c r="A38" s="22" t="s">
        <v>110</v>
      </c>
      <c r="B38" s="23" t="s">
        <v>88</v>
      </c>
      <c r="C38" s="24">
        <v>1.0</v>
      </c>
      <c r="D38" s="25">
        <v>500000.0</v>
      </c>
      <c r="E38" s="45"/>
      <c r="F38" s="18"/>
      <c r="G38" s="18"/>
      <c r="H38" s="18"/>
      <c r="I38" s="18"/>
      <c r="J38" s="18"/>
      <c r="K38" s="18"/>
      <c r="L38" s="18"/>
      <c r="M38" s="18"/>
      <c r="N38" s="18"/>
      <c r="O38" s="18"/>
      <c r="P38" s="18"/>
      <c r="Q38" s="18"/>
      <c r="R38" s="18"/>
      <c r="S38" s="18"/>
      <c r="T38" s="18"/>
      <c r="U38" s="18"/>
      <c r="V38" s="18"/>
      <c r="W38" s="18"/>
      <c r="X38" s="18"/>
      <c r="Y38" s="18"/>
      <c r="Z38" s="18"/>
    </row>
    <row r="39" ht="22.5" customHeight="1">
      <c r="A39" s="28" t="s">
        <v>56</v>
      </c>
      <c r="B39" s="29" t="s">
        <v>88</v>
      </c>
      <c r="C39" s="31">
        <v>1.0</v>
      </c>
      <c r="D39" s="32">
        <v>500000.0</v>
      </c>
      <c r="E39" s="43"/>
      <c r="F39" s="18"/>
      <c r="G39" s="18"/>
      <c r="H39" s="18"/>
      <c r="I39" s="18"/>
      <c r="J39" s="18"/>
      <c r="K39" s="18"/>
      <c r="L39" s="18"/>
      <c r="M39" s="18"/>
      <c r="N39" s="18"/>
      <c r="O39" s="18"/>
      <c r="P39" s="18"/>
      <c r="Q39" s="18"/>
      <c r="R39" s="18"/>
      <c r="S39" s="18"/>
      <c r="T39" s="18"/>
      <c r="U39" s="18"/>
      <c r="V39" s="18"/>
      <c r="W39" s="18"/>
      <c r="X39" s="18"/>
      <c r="Y39" s="18"/>
      <c r="Z39" s="18"/>
    </row>
    <row r="40" ht="22.5" customHeight="1">
      <c r="A40" s="22" t="s">
        <v>111</v>
      </c>
      <c r="B40" s="23" t="s">
        <v>88</v>
      </c>
      <c r="C40" s="24">
        <v>1.0</v>
      </c>
      <c r="D40" s="25">
        <v>500000.0</v>
      </c>
      <c r="E40" s="45"/>
      <c r="F40" s="18"/>
      <c r="G40" s="18"/>
      <c r="H40" s="18"/>
      <c r="I40" s="18"/>
      <c r="J40" s="18"/>
      <c r="K40" s="18"/>
      <c r="L40" s="18"/>
      <c r="M40" s="18"/>
      <c r="N40" s="18"/>
      <c r="O40" s="18"/>
      <c r="P40" s="18"/>
      <c r="Q40" s="18"/>
      <c r="R40" s="18"/>
      <c r="S40" s="18"/>
      <c r="T40" s="18"/>
      <c r="U40" s="18"/>
      <c r="V40" s="18"/>
      <c r="W40" s="18"/>
      <c r="X40" s="18"/>
      <c r="Y40" s="18"/>
      <c r="Z40" s="18"/>
    </row>
    <row r="41" ht="22.5" customHeight="1">
      <c r="A41" s="28" t="s">
        <v>115</v>
      </c>
      <c r="B41" s="29" t="s">
        <v>88</v>
      </c>
      <c r="C41" s="31">
        <v>1.0</v>
      </c>
      <c r="D41" s="32">
        <v>500000.0</v>
      </c>
      <c r="E41" s="43"/>
      <c r="F41" s="18"/>
      <c r="G41" s="18"/>
      <c r="H41" s="18"/>
      <c r="I41" s="18"/>
      <c r="J41" s="18"/>
      <c r="K41" s="18"/>
      <c r="L41" s="18"/>
      <c r="M41" s="18"/>
      <c r="N41" s="18"/>
      <c r="O41" s="18"/>
      <c r="P41" s="18"/>
      <c r="Q41" s="18"/>
      <c r="R41" s="18"/>
      <c r="S41" s="18"/>
      <c r="T41" s="18"/>
      <c r="U41" s="18"/>
      <c r="V41" s="18"/>
      <c r="W41" s="18"/>
      <c r="X41" s="18"/>
      <c r="Y41" s="18"/>
      <c r="Z41" s="18"/>
    </row>
    <row r="42" ht="22.5" customHeight="1">
      <c r="A42" s="22" t="s">
        <v>116</v>
      </c>
      <c r="B42" s="23" t="s">
        <v>88</v>
      </c>
      <c r="C42" s="24">
        <v>1.0</v>
      </c>
      <c r="D42" s="25">
        <v>500000.0</v>
      </c>
      <c r="E42" s="45"/>
      <c r="F42" s="18"/>
      <c r="G42" s="18"/>
      <c r="H42" s="18"/>
      <c r="I42" s="18"/>
      <c r="J42" s="18"/>
      <c r="K42" s="18"/>
      <c r="L42" s="18"/>
      <c r="M42" s="18"/>
      <c r="N42" s="18"/>
      <c r="O42" s="18"/>
      <c r="P42" s="18"/>
      <c r="Q42" s="18"/>
      <c r="R42" s="18"/>
      <c r="S42" s="18"/>
      <c r="T42" s="18"/>
      <c r="U42" s="18"/>
      <c r="V42" s="18"/>
      <c r="W42" s="18"/>
      <c r="X42" s="18"/>
      <c r="Y42" s="18"/>
      <c r="Z42" s="18"/>
    </row>
    <row r="43" ht="22.5" customHeight="1">
      <c r="A43" s="28" t="s">
        <v>117</v>
      </c>
      <c r="B43" s="29" t="s">
        <v>36</v>
      </c>
      <c r="C43" s="31">
        <v>1.0</v>
      </c>
      <c r="D43" s="32">
        <v>0.0</v>
      </c>
      <c r="E43" s="43"/>
      <c r="F43" s="18"/>
      <c r="G43" s="18"/>
      <c r="H43" s="18"/>
      <c r="I43" s="18"/>
      <c r="J43" s="18"/>
      <c r="K43" s="18"/>
      <c r="L43" s="18"/>
      <c r="M43" s="18"/>
      <c r="N43" s="18"/>
      <c r="O43" s="18"/>
      <c r="P43" s="18"/>
      <c r="Q43" s="18"/>
      <c r="R43" s="18"/>
      <c r="S43" s="18"/>
      <c r="T43" s="18"/>
      <c r="U43" s="18"/>
      <c r="V43" s="18"/>
      <c r="W43" s="18"/>
      <c r="X43" s="18"/>
      <c r="Y43" s="18"/>
      <c r="Z43" s="18"/>
    </row>
    <row r="44" ht="22.5" customHeight="1">
      <c r="A44" s="22" t="s">
        <v>118</v>
      </c>
      <c r="B44" s="23" t="s">
        <v>36</v>
      </c>
      <c r="C44" s="24">
        <v>1.0</v>
      </c>
      <c r="D44" s="25">
        <v>0.0</v>
      </c>
      <c r="E44" s="45"/>
      <c r="F44" s="18"/>
      <c r="G44" s="18"/>
      <c r="H44" s="18"/>
      <c r="I44" s="18"/>
      <c r="J44" s="18"/>
      <c r="K44" s="18"/>
      <c r="L44" s="18"/>
      <c r="M44" s="18"/>
      <c r="N44" s="18"/>
      <c r="O44" s="18"/>
      <c r="P44" s="18"/>
      <c r="Q44" s="18"/>
      <c r="R44" s="18"/>
      <c r="S44" s="18"/>
      <c r="T44" s="18"/>
      <c r="U44" s="18"/>
      <c r="V44" s="18"/>
      <c r="W44" s="18"/>
      <c r="X44" s="18"/>
      <c r="Y44" s="18"/>
      <c r="Z44" s="18"/>
    </row>
    <row r="45" ht="22.5" customHeight="1">
      <c r="A45" s="28" t="s">
        <v>121</v>
      </c>
      <c r="B45" s="29" t="s">
        <v>36</v>
      </c>
      <c r="C45" s="31">
        <v>1.0</v>
      </c>
      <c r="D45" s="32">
        <v>0.0</v>
      </c>
      <c r="E45" s="43"/>
      <c r="F45" s="18"/>
      <c r="G45" s="18"/>
      <c r="H45" s="18"/>
      <c r="I45" s="18"/>
      <c r="J45" s="18"/>
      <c r="K45" s="18"/>
      <c r="L45" s="18"/>
      <c r="M45" s="18"/>
      <c r="N45" s="18"/>
      <c r="O45" s="18"/>
      <c r="P45" s="18"/>
      <c r="Q45" s="18"/>
      <c r="R45" s="18"/>
      <c r="S45" s="18"/>
      <c r="T45" s="18"/>
      <c r="U45" s="18"/>
      <c r="V45" s="18"/>
      <c r="W45" s="18"/>
      <c r="X45" s="18"/>
      <c r="Y45" s="18"/>
      <c r="Z45" s="18"/>
    </row>
    <row r="46" ht="22.5" customHeight="1">
      <c r="A46" s="22" t="s">
        <v>122</v>
      </c>
      <c r="B46" s="23" t="s">
        <v>36</v>
      </c>
      <c r="C46" s="24">
        <v>1.0</v>
      </c>
      <c r="D46" s="25">
        <v>0.0</v>
      </c>
      <c r="E46" s="45"/>
      <c r="F46" s="18"/>
      <c r="G46" s="18"/>
      <c r="H46" s="18"/>
      <c r="I46" s="18"/>
      <c r="J46" s="18"/>
      <c r="K46" s="18"/>
      <c r="L46" s="18"/>
      <c r="M46" s="18"/>
      <c r="N46" s="18"/>
      <c r="O46" s="18"/>
      <c r="P46" s="18"/>
      <c r="Q46" s="18"/>
      <c r="R46" s="18"/>
      <c r="S46" s="18"/>
      <c r="T46" s="18"/>
      <c r="U46" s="18"/>
      <c r="V46" s="18"/>
      <c r="W46" s="18"/>
      <c r="X46" s="18"/>
      <c r="Y46" s="18"/>
      <c r="Z46" s="18"/>
    </row>
    <row r="47" ht="22.5" customHeight="1">
      <c r="A47" s="28" t="s">
        <v>125</v>
      </c>
      <c r="B47" s="29" t="s">
        <v>76</v>
      </c>
      <c r="C47" s="31">
        <v>2.0</v>
      </c>
      <c r="D47" s="32">
        <v>0.0</v>
      </c>
      <c r="E47" s="43"/>
      <c r="F47" s="18"/>
      <c r="G47" s="18"/>
      <c r="H47" s="18"/>
      <c r="I47" s="18"/>
      <c r="J47" s="18"/>
      <c r="K47" s="18"/>
      <c r="L47" s="18"/>
      <c r="M47" s="18"/>
      <c r="N47" s="18"/>
      <c r="O47" s="18"/>
      <c r="P47" s="18"/>
      <c r="Q47" s="18"/>
      <c r="R47" s="18"/>
      <c r="S47" s="18"/>
      <c r="T47" s="18"/>
      <c r="U47" s="18"/>
      <c r="V47" s="18"/>
      <c r="W47" s="18"/>
      <c r="X47" s="18"/>
      <c r="Y47" s="18"/>
      <c r="Z47" s="18"/>
    </row>
    <row r="48" ht="22.5" customHeight="1">
      <c r="A48" s="22" t="s">
        <v>126</v>
      </c>
      <c r="B48" s="23" t="s">
        <v>36</v>
      </c>
      <c r="C48" s="24">
        <v>1.0</v>
      </c>
      <c r="D48" s="25">
        <v>0.0</v>
      </c>
      <c r="E48" s="45"/>
      <c r="F48" s="18"/>
      <c r="G48" s="18"/>
      <c r="H48" s="18"/>
      <c r="I48" s="18"/>
      <c r="J48" s="18"/>
      <c r="K48" s="18"/>
      <c r="L48" s="18"/>
      <c r="M48" s="18"/>
      <c r="N48" s="18"/>
      <c r="O48" s="18"/>
      <c r="P48" s="18"/>
      <c r="Q48" s="18"/>
      <c r="R48" s="18"/>
      <c r="S48" s="18"/>
      <c r="T48" s="18"/>
      <c r="U48" s="18"/>
      <c r="V48" s="18"/>
      <c r="W48" s="18"/>
      <c r="X48" s="18"/>
      <c r="Y48" s="18"/>
      <c r="Z48" s="18"/>
    </row>
    <row r="49" ht="22.5" customHeight="1">
      <c r="A49" s="28" t="s">
        <v>127</v>
      </c>
      <c r="B49" s="29" t="s">
        <v>36</v>
      </c>
      <c r="C49" s="31">
        <v>1.0</v>
      </c>
      <c r="D49" s="32">
        <v>0.0</v>
      </c>
      <c r="E49" s="43"/>
      <c r="F49" s="18"/>
      <c r="G49" s="18"/>
      <c r="H49" s="18"/>
      <c r="I49" s="18"/>
      <c r="J49" s="18"/>
      <c r="K49" s="18"/>
      <c r="L49" s="18"/>
      <c r="M49" s="18"/>
      <c r="N49" s="18"/>
      <c r="O49" s="18"/>
      <c r="P49" s="18"/>
      <c r="Q49" s="18"/>
      <c r="R49" s="18"/>
      <c r="S49" s="18"/>
      <c r="T49" s="18"/>
      <c r="U49" s="18"/>
      <c r="V49" s="18"/>
      <c r="W49" s="18"/>
      <c r="X49" s="18"/>
      <c r="Y49" s="18"/>
      <c r="Z49" s="18"/>
    </row>
    <row r="50" ht="22.5" customHeight="1">
      <c r="A50" s="22" t="s">
        <v>130</v>
      </c>
      <c r="B50" s="23" t="s">
        <v>36</v>
      </c>
      <c r="C50" s="24">
        <v>1.0</v>
      </c>
      <c r="D50" s="25">
        <v>0.0</v>
      </c>
      <c r="E50" s="45"/>
      <c r="F50" s="18"/>
      <c r="G50" s="18"/>
      <c r="H50" s="18"/>
      <c r="I50" s="18"/>
      <c r="J50" s="18"/>
      <c r="K50" s="18"/>
      <c r="L50" s="18"/>
      <c r="M50" s="18"/>
      <c r="N50" s="18"/>
      <c r="O50" s="18"/>
      <c r="P50" s="18"/>
      <c r="Q50" s="18"/>
      <c r="R50" s="18"/>
      <c r="S50" s="18"/>
      <c r="T50" s="18"/>
      <c r="U50" s="18"/>
      <c r="V50" s="18"/>
      <c r="W50" s="18"/>
      <c r="X50" s="18"/>
      <c r="Y50" s="18"/>
      <c r="Z50" s="18"/>
    </row>
    <row r="51" ht="22.5" customHeight="1">
      <c r="A51" s="28" t="s">
        <v>132</v>
      </c>
      <c r="B51" s="29" t="s">
        <v>42</v>
      </c>
      <c r="C51" s="31">
        <v>2.0</v>
      </c>
      <c r="D51" s="32">
        <v>0.0</v>
      </c>
      <c r="E51" s="43"/>
      <c r="F51" s="18"/>
      <c r="G51" s="18"/>
      <c r="H51" s="18"/>
      <c r="I51" s="18"/>
      <c r="J51" s="18"/>
      <c r="K51" s="18"/>
      <c r="L51" s="18"/>
      <c r="M51" s="18"/>
      <c r="N51" s="18"/>
      <c r="O51" s="18"/>
      <c r="P51" s="18"/>
      <c r="Q51" s="18"/>
      <c r="R51" s="18"/>
      <c r="S51" s="18"/>
      <c r="T51" s="18"/>
      <c r="U51" s="18"/>
      <c r="V51" s="18"/>
      <c r="W51" s="18"/>
      <c r="X51" s="18"/>
      <c r="Y51" s="18"/>
      <c r="Z51" s="18"/>
    </row>
    <row r="52" ht="22.5" customHeight="1">
      <c r="A52" s="22" t="s">
        <v>135</v>
      </c>
      <c r="B52" s="23" t="s">
        <v>42</v>
      </c>
      <c r="C52" s="24">
        <v>2.0</v>
      </c>
      <c r="D52" s="25">
        <v>0.0</v>
      </c>
      <c r="E52" s="45"/>
      <c r="F52" s="18"/>
      <c r="G52" s="18"/>
      <c r="H52" s="18"/>
      <c r="I52" s="18"/>
      <c r="J52" s="18"/>
      <c r="K52" s="18"/>
      <c r="L52" s="18"/>
      <c r="M52" s="18"/>
      <c r="N52" s="18"/>
      <c r="O52" s="18"/>
      <c r="P52" s="18"/>
      <c r="Q52" s="18"/>
      <c r="R52" s="18"/>
      <c r="S52" s="18"/>
      <c r="T52" s="18"/>
      <c r="U52" s="18"/>
      <c r="V52" s="18"/>
      <c r="W52" s="18"/>
      <c r="X52" s="18"/>
      <c r="Y52" s="18"/>
      <c r="Z52" s="18"/>
    </row>
    <row r="53" ht="22.5" customHeight="1">
      <c r="A53" s="28" t="s">
        <v>136</v>
      </c>
      <c r="B53" s="29" t="s">
        <v>42</v>
      </c>
      <c r="C53" s="31">
        <v>2.0</v>
      </c>
      <c r="D53" s="32">
        <v>0.0</v>
      </c>
      <c r="E53" s="43"/>
      <c r="F53" s="18"/>
      <c r="G53" s="18"/>
      <c r="H53" s="18"/>
      <c r="I53" s="18"/>
      <c r="J53" s="18"/>
      <c r="K53" s="18"/>
      <c r="L53" s="18"/>
      <c r="M53" s="18"/>
      <c r="N53" s="18"/>
      <c r="O53" s="18"/>
      <c r="P53" s="18"/>
      <c r="Q53" s="18"/>
      <c r="R53" s="18"/>
      <c r="S53" s="18"/>
      <c r="T53" s="18"/>
      <c r="U53" s="18"/>
      <c r="V53" s="18"/>
      <c r="W53" s="18"/>
      <c r="X53" s="18"/>
      <c r="Y53" s="18"/>
      <c r="Z53" s="18"/>
    </row>
    <row r="54" ht="22.5" customHeight="1">
      <c r="A54" s="22" t="s">
        <v>137</v>
      </c>
      <c r="B54" s="23" t="s">
        <v>42</v>
      </c>
      <c r="C54" s="24">
        <v>2.0</v>
      </c>
      <c r="D54" s="25">
        <v>0.0</v>
      </c>
      <c r="E54" s="45"/>
      <c r="F54" s="18"/>
      <c r="G54" s="18"/>
      <c r="H54" s="18"/>
      <c r="I54" s="18"/>
      <c r="J54" s="18"/>
      <c r="K54" s="18"/>
      <c r="L54" s="18"/>
      <c r="M54" s="18"/>
      <c r="N54" s="18"/>
      <c r="O54" s="18"/>
      <c r="P54" s="18"/>
      <c r="Q54" s="18"/>
      <c r="R54" s="18"/>
      <c r="S54" s="18"/>
      <c r="T54" s="18"/>
      <c r="U54" s="18"/>
      <c r="V54" s="18"/>
      <c r="W54" s="18"/>
      <c r="X54" s="18"/>
      <c r="Y54" s="18"/>
      <c r="Z54" s="18"/>
    </row>
    <row r="55" ht="22.5" customHeight="1">
      <c r="A55" s="28" t="s">
        <v>138</v>
      </c>
      <c r="B55" s="29" t="s">
        <v>42</v>
      </c>
      <c r="C55" s="31">
        <v>2.0</v>
      </c>
      <c r="D55" s="32">
        <v>0.0</v>
      </c>
      <c r="E55" s="43"/>
      <c r="F55" s="18"/>
      <c r="G55" s="18"/>
      <c r="H55" s="18"/>
      <c r="I55" s="18"/>
      <c r="J55" s="18"/>
      <c r="K55" s="18"/>
      <c r="L55" s="18"/>
      <c r="M55" s="18"/>
      <c r="N55" s="18"/>
      <c r="O55" s="18"/>
      <c r="P55" s="18"/>
      <c r="Q55" s="18"/>
      <c r="R55" s="18"/>
      <c r="S55" s="18"/>
      <c r="T55" s="18"/>
      <c r="U55" s="18"/>
      <c r="V55" s="18"/>
      <c r="W55" s="18"/>
      <c r="X55" s="18"/>
      <c r="Y55" s="18"/>
      <c r="Z55" s="18"/>
    </row>
    <row r="56" ht="22.5" customHeight="1">
      <c r="A56" s="22" t="s">
        <v>141</v>
      </c>
      <c r="B56" s="23" t="s">
        <v>42</v>
      </c>
      <c r="C56" s="24">
        <v>2.0</v>
      </c>
      <c r="D56" s="25">
        <v>0.0</v>
      </c>
      <c r="E56" s="45"/>
      <c r="F56" s="18"/>
      <c r="G56" s="18"/>
      <c r="H56" s="18"/>
      <c r="I56" s="18"/>
      <c r="J56" s="18"/>
      <c r="K56" s="18"/>
      <c r="L56" s="18"/>
      <c r="M56" s="18"/>
      <c r="N56" s="18"/>
      <c r="O56" s="18"/>
      <c r="P56" s="18"/>
      <c r="Q56" s="18"/>
      <c r="R56" s="18"/>
      <c r="S56" s="18"/>
      <c r="T56" s="18"/>
      <c r="U56" s="18"/>
      <c r="V56" s="18"/>
      <c r="W56" s="18"/>
      <c r="X56" s="18"/>
      <c r="Y56" s="18"/>
      <c r="Z56" s="18"/>
    </row>
    <row r="57" ht="22.5" customHeight="1">
      <c r="A57" s="28" t="s">
        <v>144</v>
      </c>
      <c r="B57" s="29" t="s">
        <v>42</v>
      </c>
      <c r="C57" s="31">
        <v>2.0</v>
      </c>
      <c r="D57" s="32">
        <v>0.0</v>
      </c>
      <c r="E57" s="43"/>
      <c r="F57" s="18"/>
      <c r="G57" s="18"/>
      <c r="H57" s="18"/>
      <c r="I57" s="18"/>
      <c r="J57" s="18"/>
      <c r="K57" s="18"/>
      <c r="L57" s="18"/>
      <c r="M57" s="18"/>
      <c r="N57" s="18"/>
      <c r="O57" s="18"/>
      <c r="P57" s="18"/>
      <c r="Q57" s="18"/>
      <c r="R57" s="18"/>
      <c r="S57" s="18"/>
      <c r="T57" s="18"/>
      <c r="U57" s="18"/>
      <c r="V57" s="18"/>
      <c r="W57" s="18"/>
      <c r="X57" s="18"/>
      <c r="Y57" s="18"/>
      <c r="Z57" s="18"/>
    </row>
    <row r="58" ht="22.5" customHeight="1">
      <c r="A58" s="22" t="s">
        <v>145</v>
      </c>
      <c r="B58" s="23" t="s">
        <v>36</v>
      </c>
      <c r="C58" s="24">
        <v>1.0</v>
      </c>
      <c r="D58" s="25">
        <v>800000.0</v>
      </c>
      <c r="E58" s="45"/>
      <c r="F58" s="18"/>
      <c r="G58" s="18"/>
      <c r="H58" s="18"/>
      <c r="I58" s="18"/>
      <c r="J58" s="18"/>
      <c r="K58" s="18"/>
      <c r="L58" s="18"/>
      <c r="M58" s="18"/>
      <c r="N58" s="18"/>
      <c r="O58" s="18"/>
      <c r="P58" s="18"/>
      <c r="Q58" s="18"/>
      <c r="R58" s="18"/>
      <c r="S58" s="18"/>
      <c r="T58" s="18"/>
      <c r="U58" s="18"/>
      <c r="V58" s="18"/>
      <c r="W58" s="18"/>
      <c r="X58" s="18"/>
      <c r="Y58" s="18"/>
      <c r="Z58" s="18"/>
    </row>
    <row r="59" ht="22.5" customHeight="1">
      <c r="A59" s="28" t="s">
        <v>146</v>
      </c>
      <c r="B59" s="29" t="s">
        <v>76</v>
      </c>
      <c r="C59" s="31">
        <v>2.0</v>
      </c>
      <c r="D59" s="32">
        <v>0.0</v>
      </c>
      <c r="E59" s="43"/>
      <c r="F59" s="18"/>
      <c r="G59" s="18"/>
      <c r="H59" s="18"/>
      <c r="I59" s="18"/>
      <c r="J59" s="18"/>
      <c r="K59" s="18"/>
      <c r="L59" s="18"/>
      <c r="M59" s="18"/>
      <c r="N59" s="18"/>
      <c r="O59" s="18"/>
      <c r="P59" s="18"/>
      <c r="Q59" s="18"/>
      <c r="R59" s="18"/>
      <c r="S59" s="18"/>
      <c r="T59" s="18"/>
      <c r="U59" s="18"/>
      <c r="V59" s="18"/>
      <c r="W59" s="18"/>
      <c r="X59" s="18"/>
      <c r="Y59" s="18"/>
      <c r="Z59" s="18"/>
    </row>
    <row r="60" ht="22.5" customHeight="1">
      <c r="A60" s="22" t="s">
        <v>147</v>
      </c>
      <c r="B60" s="23" t="s">
        <v>36</v>
      </c>
      <c r="C60" s="24">
        <v>1.0</v>
      </c>
      <c r="D60" s="25">
        <v>800000.0</v>
      </c>
      <c r="E60" s="45"/>
      <c r="F60" s="18"/>
      <c r="G60" s="18"/>
      <c r="H60" s="18"/>
      <c r="I60" s="18"/>
      <c r="J60" s="18"/>
      <c r="K60" s="18"/>
      <c r="L60" s="18"/>
      <c r="M60" s="18"/>
      <c r="N60" s="18"/>
      <c r="O60" s="18"/>
      <c r="P60" s="18"/>
      <c r="Q60" s="18"/>
      <c r="R60" s="18"/>
      <c r="S60" s="18"/>
      <c r="T60" s="18"/>
      <c r="U60" s="18"/>
      <c r="V60" s="18"/>
      <c r="W60" s="18"/>
      <c r="X60" s="18"/>
      <c r="Y60" s="18"/>
      <c r="Z60" s="18"/>
    </row>
    <row r="61" ht="22.5" customHeight="1">
      <c r="A61" s="28" t="s">
        <v>150</v>
      </c>
      <c r="B61" s="29" t="s">
        <v>42</v>
      </c>
      <c r="C61" s="31">
        <v>2.0</v>
      </c>
      <c r="D61" s="32">
        <v>0.0</v>
      </c>
      <c r="E61" s="43"/>
      <c r="F61" s="18"/>
      <c r="G61" s="18"/>
      <c r="H61" s="18"/>
      <c r="I61" s="18"/>
      <c r="J61" s="18"/>
      <c r="K61" s="18"/>
      <c r="L61" s="18"/>
      <c r="M61" s="18"/>
      <c r="N61" s="18"/>
      <c r="O61" s="18"/>
      <c r="P61" s="18"/>
      <c r="Q61" s="18"/>
      <c r="R61" s="18"/>
      <c r="S61" s="18"/>
      <c r="T61" s="18"/>
      <c r="U61" s="18"/>
      <c r="V61" s="18"/>
      <c r="W61" s="18"/>
      <c r="X61" s="18"/>
      <c r="Y61" s="18"/>
      <c r="Z61" s="18"/>
    </row>
    <row r="62" ht="22.5" customHeight="1">
      <c r="A62" s="22" t="s">
        <v>153</v>
      </c>
      <c r="B62" s="23" t="s">
        <v>42</v>
      </c>
      <c r="C62" s="24">
        <v>2.0</v>
      </c>
      <c r="D62" s="25">
        <v>0.0</v>
      </c>
      <c r="E62" s="45"/>
      <c r="F62" s="18"/>
      <c r="G62" s="18"/>
      <c r="H62" s="18"/>
      <c r="I62" s="18"/>
      <c r="J62" s="18"/>
      <c r="K62" s="18"/>
      <c r="L62" s="18"/>
      <c r="M62" s="18"/>
      <c r="N62" s="18"/>
      <c r="O62" s="18"/>
      <c r="P62" s="18"/>
      <c r="Q62" s="18"/>
      <c r="R62" s="18"/>
      <c r="S62" s="18"/>
      <c r="T62" s="18"/>
      <c r="U62" s="18"/>
      <c r="V62" s="18"/>
      <c r="W62" s="18"/>
      <c r="X62" s="18"/>
      <c r="Y62" s="18"/>
      <c r="Z62" s="18"/>
    </row>
    <row r="63" ht="22.5" customHeight="1">
      <c r="A63" s="28" t="s">
        <v>154</v>
      </c>
      <c r="B63" s="29" t="s">
        <v>42</v>
      </c>
      <c r="C63" s="31">
        <v>2.0</v>
      </c>
      <c r="D63" s="32">
        <v>0.0</v>
      </c>
      <c r="E63" s="43"/>
      <c r="F63" s="18"/>
      <c r="G63" s="18"/>
      <c r="H63" s="18"/>
      <c r="I63" s="18"/>
      <c r="J63" s="18"/>
      <c r="K63" s="18"/>
      <c r="L63" s="18"/>
      <c r="M63" s="18"/>
      <c r="N63" s="18"/>
      <c r="O63" s="18"/>
      <c r="P63" s="18"/>
      <c r="Q63" s="18"/>
      <c r="R63" s="18"/>
      <c r="S63" s="18"/>
      <c r="T63" s="18"/>
      <c r="U63" s="18"/>
      <c r="V63" s="18"/>
      <c r="W63" s="18"/>
      <c r="X63" s="18"/>
      <c r="Y63" s="18"/>
      <c r="Z63" s="18"/>
    </row>
    <row r="64" ht="22.5" customHeight="1">
      <c r="A64" s="22" t="s">
        <v>156</v>
      </c>
      <c r="B64" s="23" t="s">
        <v>76</v>
      </c>
      <c r="C64" s="24">
        <v>2.0</v>
      </c>
      <c r="D64" s="25">
        <v>0.0</v>
      </c>
      <c r="E64" s="45"/>
      <c r="F64" s="18"/>
      <c r="G64" s="18"/>
      <c r="H64" s="18"/>
      <c r="I64" s="18"/>
      <c r="J64" s="18"/>
      <c r="K64" s="18"/>
      <c r="L64" s="18"/>
      <c r="M64" s="18"/>
      <c r="N64" s="18"/>
      <c r="O64" s="18"/>
      <c r="P64" s="18"/>
      <c r="Q64" s="18"/>
      <c r="R64" s="18"/>
      <c r="S64" s="18"/>
      <c r="T64" s="18"/>
      <c r="U64" s="18"/>
      <c r="V64" s="18"/>
      <c r="W64" s="18"/>
      <c r="X64" s="18"/>
      <c r="Y64" s="18"/>
      <c r="Z64" s="18"/>
    </row>
    <row r="65" ht="22.5" customHeight="1">
      <c r="A65" s="28" t="s">
        <v>157</v>
      </c>
      <c r="B65" s="29" t="s">
        <v>76</v>
      </c>
      <c r="C65" s="31">
        <v>2.0</v>
      </c>
      <c r="D65" s="32">
        <v>0.0</v>
      </c>
      <c r="E65" s="43"/>
      <c r="F65" s="18"/>
      <c r="G65" s="18"/>
      <c r="H65" s="18"/>
      <c r="I65" s="18"/>
      <c r="J65" s="18"/>
      <c r="K65" s="18"/>
      <c r="L65" s="18"/>
      <c r="M65" s="18"/>
      <c r="N65" s="18"/>
      <c r="O65" s="18"/>
      <c r="P65" s="18"/>
      <c r="Q65" s="18"/>
      <c r="R65" s="18"/>
      <c r="S65" s="18"/>
      <c r="T65" s="18"/>
      <c r="U65" s="18"/>
      <c r="V65" s="18"/>
      <c r="W65" s="18"/>
      <c r="X65" s="18"/>
      <c r="Y65" s="18"/>
      <c r="Z65" s="18"/>
    </row>
    <row r="66" ht="22.5" customHeight="1">
      <c r="A66" s="22" t="s">
        <v>159</v>
      </c>
      <c r="B66" s="23" t="s">
        <v>36</v>
      </c>
      <c r="C66" s="24">
        <v>2.0</v>
      </c>
      <c r="D66" s="25">
        <v>0.0</v>
      </c>
      <c r="E66" s="45"/>
      <c r="F66" s="18"/>
      <c r="G66" s="18"/>
      <c r="H66" s="18"/>
      <c r="I66" s="18"/>
      <c r="J66" s="18"/>
      <c r="K66" s="18"/>
      <c r="L66" s="18"/>
      <c r="M66" s="18"/>
      <c r="N66" s="18"/>
      <c r="O66" s="18"/>
      <c r="P66" s="18"/>
      <c r="Q66" s="18"/>
      <c r="R66" s="18"/>
      <c r="S66" s="18"/>
      <c r="T66" s="18"/>
      <c r="U66" s="18"/>
      <c r="V66" s="18"/>
      <c r="W66" s="18"/>
      <c r="X66" s="18"/>
      <c r="Y66" s="18"/>
      <c r="Z66" s="18"/>
    </row>
    <row r="67" ht="22.5" customHeight="1">
      <c r="A67" s="28" t="s">
        <v>162</v>
      </c>
      <c r="B67" s="29" t="s">
        <v>36</v>
      </c>
      <c r="C67" s="31">
        <v>1.0</v>
      </c>
      <c r="D67" s="32">
        <v>0.0</v>
      </c>
      <c r="E67" s="43"/>
      <c r="F67" s="18"/>
      <c r="G67" s="18"/>
      <c r="H67" s="18"/>
      <c r="I67" s="18"/>
      <c r="J67" s="18"/>
      <c r="K67" s="18"/>
      <c r="L67" s="18"/>
      <c r="M67" s="18"/>
      <c r="N67" s="18"/>
      <c r="O67" s="18"/>
      <c r="P67" s="18"/>
      <c r="Q67" s="18"/>
      <c r="R67" s="18"/>
      <c r="S67" s="18"/>
      <c r="T67" s="18"/>
      <c r="U67" s="18"/>
      <c r="V67" s="18"/>
      <c r="W67" s="18"/>
      <c r="X67" s="18"/>
      <c r="Y67" s="18"/>
      <c r="Z67" s="18"/>
    </row>
    <row r="68" ht="22.5" customHeight="1">
      <c r="A68" s="22" t="s">
        <v>99</v>
      </c>
      <c r="B68" s="23" t="s">
        <v>88</v>
      </c>
      <c r="C68" s="24">
        <v>2.0</v>
      </c>
      <c r="D68" s="25">
        <v>0.0</v>
      </c>
      <c r="E68" s="45"/>
      <c r="F68" s="18"/>
      <c r="G68" s="18"/>
      <c r="H68" s="18"/>
      <c r="I68" s="18"/>
      <c r="J68" s="18"/>
      <c r="K68" s="18"/>
      <c r="L68" s="18"/>
      <c r="M68" s="18"/>
      <c r="N68" s="18"/>
      <c r="O68" s="18"/>
      <c r="P68" s="18"/>
      <c r="Q68" s="18"/>
      <c r="R68" s="18"/>
      <c r="S68" s="18"/>
      <c r="T68" s="18"/>
      <c r="U68" s="18"/>
      <c r="V68" s="18"/>
      <c r="W68" s="18"/>
      <c r="X68" s="18"/>
      <c r="Y68" s="18"/>
      <c r="Z68" s="18"/>
    </row>
    <row r="69" ht="22.5" customHeight="1">
      <c r="A69" s="28" t="s">
        <v>165</v>
      </c>
      <c r="B69" s="29" t="s">
        <v>88</v>
      </c>
      <c r="C69" s="31">
        <v>2.0</v>
      </c>
      <c r="D69" s="32">
        <v>0.0</v>
      </c>
      <c r="E69" s="43"/>
      <c r="F69" s="18"/>
      <c r="G69" s="18"/>
      <c r="H69" s="18"/>
      <c r="I69" s="18"/>
      <c r="J69" s="18"/>
      <c r="K69" s="18"/>
      <c r="L69" s="18"/>
      <c r="M69" s="18"/>
      <c r="N69" s="18"/>
      <c r="O69" s="18"/>
      <c r="P69" s="18"/>
      <c r="Q69" s="18"/>
      <c r="R69" s="18"/>
      <c r="S69" s="18"/>
      <c r="T69" s="18"/>
      <c r="U69" s="18"/>
      <c r="V69" s="18"/>
      <c r="W69" s="18"/>
      <c r="X69" s="18"/>
      <c r="Y69" s="18"/>
      <c r="Z69" s="18"/>
    </row>
    <row r="70" ht="22.5" customHeight="1">
      <c r="A70" s="22" t="s">
        <v>166</v>
      </c>
      <c r="B70" s="23" t="s">
        <v>88</v>
      </c>
      <c r="C70" s="24">
        <v>2.0</v>
      </c>
      <c r="D70" s="25">
        <v>0.0</v>
      </c>
      <c r="E70" s="45"/>
      <c r="F70" s="18"/>
      <c r="G70" s="18"/>
      <c r="H70" s="18"/>
      <c r="I70" s="18"/>
      <c r="J70" s="18"/>
      <c r="K70" s="18"/>
      <c r="L70" s="18"/>
      <c r="M70" s="18"/>
      <c r="N70" s="18"/>
      <c r="O70" s="18"/>
      <c r="P70" s="18"/>
      <c r="Q70" s="18"/>
      <c r="R70" s="18"/>
      <c r="S70" s="18"/>
      <c r="T70" s="18"/>
      <c r="U70" s="18"/>
      <c r="V70" s="18"/>
      <c r="W70" s="18"/>
      <c r="X70" s="18"/>
      <c r="Y70" s="18"/>
      <c r="Z70" s="18"/>
    </row>
    <row r="71" ht="22.5" customHeight="1">
      <c r="A71" s="28" t="s">
        <v>168</v>
      </c>
      <c r="B71" s="29" t="s">
        <v>88</v>
      </c>
      <c r="C71" s="31">
        <v>2.0</v>
      </c>
      <c r="D71" s="32">
        <v>0.0</v>
      </c>
      <c r="E71" s="43"/>
      <c r="F71" s="18"/>
      <c r="G71" s="18"/>
      <c r="H71" s="18"/>
      <c r="I71" s="18"/>
      <c r="J71" s="18"/>
      <c r="K71" s="18"/>
      <c r="L71" s="18"/>
      <c r="M71" s="18"/>
      <c r="N71" s="18"/>
      <c r="O71" s="18"/>
      <c r="P71" s="18"/>
      <c r="Q71" s="18"/>
      <c r="R71" s="18"/>
      <c r="S71" s="18"/>
      <c r="T71" s="18"/>
      <c r="U71" s="18"/>
      <c r="V71" s="18"/>
      <c r="W71" s="18"/>
      <c r="X71" s="18"/>
      <c r="Y71" s="18"/>
      <c r="Z71" s="18"/>
    </row>
    <row r="72" ht="22.5" customHeight="1">
      <c r="A72" s="22" t="s">
        <v>171</v>
      </c>
      <c r="B72" s="23" t="s">
        <v>88</v>
      </c>
      <c r="C72" s="24">
        <v>2.0</v>
      </c>
      <c r="D72" s="25">
        <v>0.0</v>
      </c>
      <c r="E72" s="45"/>
      <c r="F72" s="18"/>
      <c r="G72" s="18"/>
      <c r="H72" s="18"/>
      <c r="I72" s="18"/>
      <c r="J72" s="18"/>
      <c r="K72" s="18"/>
      <c r="L72" s="18"/>
      <c r="M72" s="18"/>
      <c r="N72" s="18"/>
      <c r="O72" s="18"/>
      <c r="P72" s="18"/>
      <c r="Q72" s="18"/>
      <c r="R72" s="18"/>
      <c r="S72" s="18"/>
      <c r="T72" s="18"/>
      <c r="U72" s="18"/>
      <c r="V72" s="18"/>
      <c r="W72" s="18"/>
      <c r="X72" s="18"/>
      <c r="Y72" s="18"/>
      <c r="Z72" s="18"/>
    </row>
    <row r="73" ht="22.5" customHeight="1">
      <c r="A73" s="28" t="s">
        <v>173</v>
      </c>
      <c r="B73" s="29" t="s">
        <v>88</v>
      </c>
      <c r="C73" s="31">
        <v>2.0</v>
      </c>
      <c r="D73" s="32">
        <v>0.0</v>
      </c>
      <c r="E73" s="43"/>
      <c r="F73" s="18"/>
      <c r="G73" s="18"/>
      <c r="H73" s="18"/>
      <c r="I73" s="18"/>
      <c r="J73" s="18"/>
      <c r="K73" s="18"/>
      <c r="L73" s="18"/>
      <c r="M73" s="18"/>
      <c r="N73" s="18"/>
      <c r="O73" s="18"/>
      <c r="P73" s="18"/>
      <c r="Q73" s="18"/>
      <c r="R73" s="18"/>
      <c r="S73" s="18"/>
      <c r="T73" s="18"/>
      <c r="U73" s="18"/>
      <c r="V73" s="18"/>
      <c r="W73" s="18"/>
      <c r="X73" s="18"/>
      <c r="Y73" s="18"/>
      <c r="Z73" s="18"/>
    </row>
    <row r="74" ht="22.5" customHeight="1">
      <c r="A74" s="22" t="s">
        <v>174</v>
      </c>
      <c r="B74" s="23" t="s">
        <v>88</v>
      </c>
      <c r="C74" s="24">
        <v>2.0</v>
      </c>
      <c r="D74" s="25">
        <v>0.0</v>
      </c>
      <c r="E74" s="45"/>
      <c r="F74" s="18"/>
      <c r="G74" s="18"/>
      <c r="H74" s="18"/>
      <c r="I74" s="18"/>
      <c r="J74" s="18"/>
      <c r="K74" s="18"/>
      <c r="L74" s="18"/>
      <c r="M74" s="18"/>
      <c r="N74" s="18"/>
      <c r="O74" s="18"/>
      <c r="P74" s="18"/>
      <c r="Q74" s="18"/>
      <c r="R74" s="18"/>
      <c r="S74" s="18"/>
      <c r="T74" s="18"/>
      <c r="U74" s="18"/>
      <c r="V74" s="18"/>
      <c r="W74" s="18"/>
      <c r="X74" s="18"/>
      <c r="Y74" s="18"/>
      <c r="Z74" s="18"/>
    </row>
    <row r="75" ht="22.5" customHeight="1">
      <c r="A75" s="28" t="s">
        <v>175</v>
      </c>
      <c r="B75" s="29" t="s">
        <v>88</v>
      </c>
      <c r="C75" s="31">
        <v>2.0</v>
      </c>
      <c r="D75" s="32">
        <v>0.0</v>
      </c>
      <c r="E75" s="43"/>
      <c r="F75" s="18"/>
      <c r="G75" s="18"/>
      <c r="H75" s="18"/>
      <c r="I75" s="18"/>
      <c r="J75" s="18"/>
      <c r="K75" s="18"/>
      <c r="L75" s="18"/>
      <c r="M75" s="18"/>
      <c r="N75" s="18"/>
      <c r="O75" s="18"/>
      <c r="P75" s="18"/>
      <c r="Q75" s="18"/>
      <c r="R75" s="18"/>
      <c r="S75" s="18"/>
      <c r="T75" s="18"/>
      <c r="U75" s="18"/>
      <c r="V75" s="18"/>
      <c r="W75" s="18"/>
      <c r="X75" s="18"/>
      <c r="Y75" s="18"/>
      <c r="Z75" s="18"/>
    </row>
    <row r="76" ht="22.5" customHeight="1">
      <c r="A76" s="22" t="s">
        <v>176</v>
      </c>
      <c r="B76" s="23" t="s">
        <v>88</v>
      </c>
      <c r="C76" s="24">
        <v>2.0</v>
      </c>
      <c r="D76" s="25">
        <v>0.0</v>
      </c>
      <c r="E76" s="45"/>
      <c r="F76" s="18"/>
      <c r="G76" s="18"/>
      <c r="H76" s="18"/>
      <c r="I76" s="18"/>
      <c r="J76" s="18"/>
      <c r="K76" s="18"/>
      <c r="L76" s="18"/>
      <c r="M76" s="18"/>
      <c r="N76" s="18"/>
      <c r="O76" s="18"/>
      <c r="P76" s="18"/>
      <c r="Q76" s="18"/>
      <c r="R76" s="18"/>
      <c r="S76" s="18"/>
      <c r="T76" s="18"/>
      <c r="U76" s="18"/>
      <c r="V76" s="18"/>
      <c r="W76" s="18"/>
      <c r="X76" s="18"/>
      <c r="Y76" s="18"/>
      <c r="Z76" s="18"/>
    </row>
    <row r="77" ht="22.5" customHeight="1">
      <c r="A77" s="28" t="s">
        <v>178</v>
      </c>
      <c r="B77" s="29" t="s">
        <v>88</v>
      </c>
      <c r="C77" s="31">
        <v>2.0</v>
      </c>
      <c r="D77" s="32">
        <v>0.0</v>
      </c>
      <c r="E77" s="43"/>
      <c r="F77" s="18"/>
      <c r="G77" s="18"/>
      <c r="H77" s="18"/>
      <c r="I77" s="18"/>
      <c r="J77" s="18"/>
      <c r="K77" s="18"/>
      <c r="L77" s="18"/>
      <c r="M77" s="18"/>
      <c r="N77" s="18"/>
      <c r="O77" s="18"/>
      <c r="P77" s="18"/>
      <c r="Q77" s="18"/>
      <c r="R77" s="18"/>
      <c r="S77" s="18"/>
      <c r="T77" s="18"/>
      <c r="U77" s="18"/>
      <c r="V77" s="18"/>
      <c r="W77" s="18"/>
      <c r="X77" s="18"/>
      <c r="Y77" s="18"/>
      <c r="Z77" s="18"/>
    </row>
    <row r="78" ht="22.5" customHeight="1">
      <c r="A78" s="22" t="s">
        <v>181</v>
      </c>
      <c r="B78" s="23" t="s">
        <v>88</v>
      </c>
      <c r="C78" s="24">
        <v>2.0</v>
      </c>
      <c r="D78" s="25">
        <v>0.0</v>
      </c>
      <c r="E78" s="45"/>
      <c r="F78" s="18"/>
      <c r="G78" s="18"/>
      <c r="H78" s="18"/>
      <c r="I78" s="18"/>
      <c r="J78" s="18"/>
      <c r="K78" s="18"/>
      <c r="L78" s="18"/>
      <c r="M78" s="18"/>
      <c r="N78" s="18"/>
      <c r="O78" s="18"/>
      <c r="P78" s="18"/>
      <c r="Q78" s="18"/>
      <c r="R78" s="18"/>
      <c r="S78" s="18"/>
      <c r="T78" s="18"/>
      <c r="U78" s="18"/>
      <c r="V78" s="18"/>
      <c r="W78" s="18"/>
      <c r="X78" s="18"/>
      <c r="Y78" s="18"/>
      <c r="Z78" s="18"/>
    </row>
    <row r="79" ht="22.5" customHeight="1">
      <c r="A79" s="28" t="s">
        <v>182</v>
      </c>
      <c r="B79" s="29" t="s">
        <v>88</v>
      </c>
      <c r="C79" s="31">
        <v>2.0</v>
      </c>
      <c r="D79" s="32">
        <v>0.0</v>
      </c>
      <c r="E79" s="43"/>
      <c r="F79" s="18"/>
      <c r="G79" s="18"/>
      <c r="H79" s="18"/>
      <c r="I79" s="18"/>
      <c r="J79" s="18"/>
      <c r="K79" s="18"/>
      <c r="L79" s="18"/>
      <c r="M79" s="18"/>
      <c r="N79" s="18"/>
      <c r="O79" s="18"/>
      <c r="P79" s="18"/>
      <c r="Q79" s="18"/>
      <c r="R79" s="18"/>
      <c r="S79" s="18"/>
      <c r="T79" s="18"/>
      <c r="U79" s="18"/>
      <c r="V79" s="18"/>
      <c r="W79" s="18"/>
      <c r="X79" s="18"/>
      <c r="Y79" s="18"/>
      <c r="Z79" s="18"/>
    </row>
    <row r="80" ht="22.5" customHeight="1">
      <c r="A80" s="22" t="s">
        <v>183</v>
      </c>
      <c r="B80" s="23" t="s">
        <v>36</v>
      </c>
      <c r="C80" s="24">
        <v>3.0</v>
      </c>
      <c r="D80" s="25">
        <v>0.0</v>
      </c>
      <c r="E80" s="45"/>
      <c r="F80" s="18"/>
      <c r="G80" s="18"/>
      <c r="H80" s="18"/>
      <c r="I80" s="18"/>
      <c r="J80" s="18"/>
      <c r="K80" s="18"/>
      <c r="L80" s="18"/>
      <c r="M80" s="18"/>
      <c r="N80" s="18"/>
      <c r="O80" s="18"/>
      <c r="P80" s="18"/>
      <c r="Q80" s="18"/>
      <c r="R80" s="18"/>
      <c r="S80" s="18"/>
      <c r="T80" s="18"/>
      <c r="U80" s="18"/>
      <c r="V80" s="18"/>
      <c r="W80" s="18"/>
      <c r="X80" s="18"/>
      <c r="Y80" s="18"/>
      <c r="Z80" s="18"/>
    </row>
    <row r="81" ht="22.5" customHeight="1">
      <c r="A81" s="28" t="s">
        <v>185</v>
      </c>
      <c r="B81" s="29" t="s">
        <v>36</v>
      </c>
      <c r="C81" s="31">
        <v>3.0</v>
      </c>
      <c r="D81" s="32">
        <v>0.0</v>
      </c>
      <c r="E81" s="43"/>
      <c r="F81" s="18"/>
      <c r="G81" s="18"/>
      <c r="H81" s="18"/>
      <c r="I81" s="18"/>
      <c r="J81" s="18"/>
      <c r="K81" s="18"/>
      <c r="L81" s="18"/>
      <c r="M81" s="18"/>
      <c r="N81" s="18"/>
      <c r="O81" s="18"/>
      <c r="P81" s="18"/>
      <c r="Q81" s="18"/>
      <c r="R81" s="18"/>
      <c r="S81" s="18"/>
      <c r="T81" s="18"/>
      <c r="U81" s="18"/>
      <c r="V81" s="18"/>
      <c r="W81" s="18"/>
      <c r="X81" s="18"/>
      <c r="Y81" s="18"/>
      <c r="Z81" s="18"/>
    </row>
    <row r="82" ht="22.5" customHeight="1">
      <c r="A82" s="22" t="s">
        <v>186</v>
      </c>
      <c r="B82" s="23" t="s">
        <v>36</v>
      </c>
      <c r="C82" s="24">
        <v>3.0</v>
      </c>
      <c r="D82" s="25">
        <v>0.0</v>
      </c>
      <c r="E82" s="45"/>
      <c r="F82" s="18"/>
      <c r="G82" s="18"/>
      <c r="H82" s="18"/>
      <c r="I82" s="18"/>
      <c r="J82" s="18"/>
      <c r="K82" s="18"/>
      <c r="L82" s="18"/>
      <c r="M82" s="18"/>
      <c r="N82" s="18"/>
      <c r="O82" s="18"/>
      <c r="P82" s="18"/>
      <c r="Q82" s="18"/>
      <c r="R82" s="18"/>
      <c r="S82" s="18"/>
      <c r="T82" s="18"/>
      <c r="U82" s="18"/>
      <c r="V82" s="18"/>
      <c r="W82" s="18"/>
      <c r="X82" s="18"/>
      <c r="Y82" s="18"/>
      <c r="Z82" s="18"/>
    </row>
    <row r="83" ht="22.5" customHeight="1">
      <c r="A83" s="28" t="s">
        <v>191</v>
      </c>
      <c r="B83" s="29" t="s">
        <v>36</v>
      </c>
      <c r="C83" s="31">
        <v>3.0</v>
      </c>
      <c r="D83" s="32">
        <v>0.0</v>
      </c>
      <c r="E83" s="43"/>
      <c r="F83" s="18"/>
      <c r="G83" s="18"/>
      <c r="H83" s="18"/>
      <c r="I83" s="18"/>
      <c r="J83" s="18"/>
      <c r="K83" s="18"/>
      <c r="L83" s="18"/>
      <c r="M83" s="18"/>
      <c r="N83" s="18"/>
      <c r="O83" s="18"/>
      <c r="P83" s="18"/>
      <c r="Q83" s="18"/>
      <c r="R83" s="18"/>
      <c r="S83" s="18"/>
      <c r="T83" s="18"/>
      <c r="U83" s="18"/>
      <c r="V83" s="18"/>
      <c r="W83" s="18"/>
      <c r="X83" s="18"/>
      <c r="Y83" s="18"/>
      <c r="Z83" s="18"/>
    </row>
    <row r="84" ht="22.5" customHeight="1">
      <c r="A84" s="22" t="s">
        <v>192</v>
      </c>
      <c r="B84" s="23" t="s">
        <v>36</v>
      </c>
      <c r="C84" s="24">
        <v>3.0</v>
      </c>
      <c r="D84" s="25">
        <v>0.0</v>
      </c>
      <c r="E84" s="45"/>
      <c r="F84" s="18"/>
      <c r="G84" s="18"/>
      <c r="H84" s="18"/>
      <c r="I84" s="18"/>
      <c r="J84" s="18"/>
      <c r="K84" s="18"/>
      <c r="L84" s="18"/>
      <c r="M84" s="18"/>
      <c r="N84" s="18"/>
      <c r="O84" s="18"/>
      <c r="P84" s="18"/>
      <c r="Q84" s="18"/>
      <c r="R84" s="18"/>
      <c r="S84" s="18"/>
      <c r="T84" s="18"/>
      <c r="U84" s="18"/>
      <c r="V84" s="18"/>
      <c r="W84" s="18"/>
      <c r="X84" s="18"/>
      <c r="Y84" s="18"/>
      <c r="Z84" s="18"/>
    </row>
    <row r="85" ht="22.5" customHeight="1">
      <c r="A85" s="28" t="s">
        <v>193</v>
      </c>
      <c r="B85" s="29" t="s">
        <v>36</v>
      </c>
      <c r="C85" s="31">
        <v>3.0</v>
      </c>
      <c r="D85" s="32">
        <v>0.0</v>
      </c>
      <c r="E85" s="43"/>
      <c r="F85" s="18"/>
      <c r="G85" s="18"/>
      <c r="H85" s="18"/>
      <c r="I85" s="18"/>
      <c r="J85" s="18"/>
      <c r="K85" s="18"/>
      <c r="L85" s="18"/>
      <c r="M85" s="18"/>
      <c r="N85" s="18"/>
      <c r="O85" s="18"/>
      <c r="P85" s="18"/>
      <c r="Q85" s="18"/>
      <c r="R85" s="18"/>
      <c r="S85" s="18"/>
      <c r="T85" s="18"/>
      <c r="U85" s="18"/>
      <c r="V85" s="18"/>
      <c r="W85" s="18"/>
      <c r="X85" s="18"/>
      <c r="Y85" s="18"/>
      <c r="Z85" s="18"/>
    </row>
    <row r="86" ht="22.5" customHeight="1">
      <c r="A86" s="22" t="s">
        <v>194</v>
      </c>
      <c r="B86" s="23" t="s">
        <v>36</v>
      </c>
      <c r="C86" s="24">
        <v>3.0</v>
      </c>
      <c r="D86" s="25">
        <v>0.0</v>
      </c>
      <c r="E86" s="45"/>
      <c r="F86" s="18"/>
      <c r="G86" s="18"/>
      <c r="H86" s="18"/>
      <c r="I86" s="18"/>
      <c r="J86" s="18"/>
      <c r="K86" s="18"/>
      <c r="L86" s="18"/>
      <c r="M86" s="18"/>
      <c r="N86" s="18"/>
      <c r="O86" s="18"/>
      <c r="P86" s="18"/>
      <c r="Q86" s="18"/>
      <c r="R86" s="18"/>
      <c r="S86" s="18"/>
      <c r="T86" s="18"/>
      <c r="U86" s="18"/>
      <c r="V86" s="18"/>
      <c r="W86" s="18"/>
      <c r="X86" s="18"/>
      <c r="Y86" s="18"/>
      <c r="Z86" s="18"/>
    </row>
    <row r="87" ht="22.5" customHeight="1">
      <c r="A87" s="53" t="s">
        <v>106</v>
      </c>
      <c r="B87" s="29" t="s">
        <v>36</v>
      </c>
      <c r="C87" s="31">
        <v>3.0</v>
      </c>
      <c r="D87" s="32">
        <v>0.0</v>
      </c>
      <c r="E87" s="54"/>
      <c r="F87" s="18"/>
      <c r="G87" s="18"/>
      <c r="H87" s="18"/>
      <c r="I87" s="18"/>
      <c r="J87" s="18"/>
      <c r="K87" s="18"/>
      <c r="L87" s="18"/>
      <c r="M87" s="18"/>
      <c r="N87" s="18"/>
      <c r="O87" s="18"/>
      <c r="P87" s="18"/>
      <c r="Q87" s="18"/>
      <c r="R87" s="18"/>
      <c r="S87" s="18"/>
      <c r="T87" s="18"/>
      <c r="U87" s="18"/>
      <c r="V87" s="18"/>
      <c r="W87" s="18"/>
      <c r="X87" s="18"/>
      <c r="Y87" s="18"/>
      <c r="Z87" s="18"/>
    </row>
    <row r="88" ht="22.5" customHeight="1">
      <c r="A88" s="22" t="s">
        <v>198</v>
      </c>
      <c r="B88" s="23" t="s">
        <v>36</v>
      </c>
      <c r="C88" s="24">
        <v>3.0</v>
      </c>
      <c r="D88" s="25">
        <v>0.0</v>
      </c>
      <c r="E88" s="45"/>
      <c r="F88" s="18"/>
      <c r="G88" s="18"/>
      <c r="H88" s="18"/>
      <c r="I88" s="18"/>
      <c r="J88" s="18"/>
      <c r="K88" s="18"/>
      <c r="L88" s="18"/>
      <c r="M88" s="18"/>
      <c r="N88" s="18"/>
      <c r="O88" s="18"/>
      <c r="P88" s="18"/>
      <c r="Q88" s="18"/>
      <c r="R88" s="18"/>
      <c r="S88" s="18"/>
      <c r="T88" s="18"/>
      <c r="U88" s="18"/>
      <c r="V88" s="18"/>
      <c r="W88" s="18"/>
      <c r="X88" s="18"/>
      <c r="Y88" s="18"/>
      <c r="Z88" s="18"/>
    </row>
    <row r="89" ht="22.5" customHeight="1">
      <c r="A89" s="28" t="s">
        <v>199</v>
      </c>
      <c r="B89" s="29" t="s">
        <v>36</v>
      </c>
      <c r="C89" s="31">
        <v>3.0</v>
      </c>
      <c r="D89" s="32">
        <v>0.0</v>
      </c>
      <c r="E89" s="43"/>
      <c r="F89" s="18"/>
      <c r="G89" s="18"/>
      <c r="H89" s="18"/>
      <c r="I89" s="18"/>
      <c r="J89" s="18"/>
      <c r="K89" s="18"/>
      <c r="L89" s="18"/>
      <c r="M89" s="18"/>
      <c r="N89" s="18"/>
      <c r="O89" s="18"/>
      <c r="P89" s="18"/>
      <c r="Q89" s="18"/>
      <c r="R89" s="18"/>
      <c r="S89" s="18"/>
      <c r="T89" s="18"/>
      <c r="U89" s="18"/>
      <c r="V89" s="18"/>
      <c r="W89" s="18"/>
      <c r="X89" s="18"/>
      <c r="Y89" s="18"/>
      <c r="Z89" s="18"/>
    </row>
    <row r="90" ht="22.5" customHeight="1">
      <c r="A90" s="22" t="s">
        <v>200</v>
      </c>
      <c r="B90" s="23" t="s">
        <v>36</v>
      </c>
      <c r="C90" s="24">
        <v>3.0</v>
      </c>
      <c r="D90" s="25">
        <v>0.0</v>
      </c>
      <c r="E90" s="45"/>
      <c r="F90" s="18"/>
      <c r="G90" s="18"/>
      <c r="H90" s="18"/>
      <c r="I90" s="18"/>
      <c r="J90" s="18"/>
      <c r="K90" s="18"/>
      <c r="L90" s="18"/>
      <c r="M90" s="18"/>
      <c r="N90" s="18"/>
      <c r="O90" s="18"/>
      <c r="P90" s="18"/>
      <c r="Q90" s="18"/>
      <c r="R90" s="18"/>
      <c r="S90" s="18"/>
      <c r="T90" s="18"/>
      <c r="U90" s="18"/>
      <c r="V90" s="18"/>
      <c r="W90" s="18"/>
      <c r="X90" s="18"/>
      <c r="Y90" s="18"/>
      <c r="Z90" s="18"/>
    </row>
    <row r="91" ht="22.5" customHeight="1">
      <c r="A91" s="28" t="s">
        <v>202</v>
      </c>
      <c r="B91" s="29" t="s">
        <v>36</v>
      </c>
      <c r="C91" s="31">
        <v>3.0</v>
      </c>
      <c r="D91" s="32">
        <v>0.0</v>
      </c>
      <c r="E91" s="43"/>
      <c r="F91" s="18"/>
      <c r="G91" s="18"/>
      <c r="H91" s="18"/>
      <c r="I91" s="18"/>
      <c r="J91" s="18"/>
      <c r="K91" s="18"/>
      <c r="L91" s="18"/>
      <c r="M91" s="18"/>
      <c r="N91" s="18"/>
      <c r="O91" s="18"/>
      <c r="P91" s="18"/>
      <c r="Q91" s="18"/>
      <c r="R91" s="18"/>
      <c r="S91" s="18"/>
      <c r="T91" s="18"/>
      <c r="U91" s="18"/>
      <c r="V91" s="18"/>
      <c r="W91" s="18"/>
      <c r="X91" s="18"/>
      <c r="Y91" s="18"/>
      <c r="Z91" s="18"/>
    </row>
    <row r="92" ht="22.5" customHeight="1">
      <c r="A92" s="22" t="s">
        <v>205</v>
      </c>
      <c r="B92" s="23" t="s">
        <v>36</v>
      </c>
      <c r="C92" s="24">
        <v>3.0</v>
      </c>
      <c r="D92" s="25">
        <v>0.0</v>
      </c>
      <c r="E92" s="45"/>
      <c r="F92" s="18"/>
      <c r="G92" s="18"/>
      <c r="H92" s="18"/>
      <c r="I92" s="18"/>
      <c r="J92" s="18"/>
      <c r="K92" s="18"/>
      <c r="L92" s="18"/>
      <c r="M92" s="18"/>
      <c r="N92" s="18"/>
      <c r="O92" s="18"/>
      <c r="P92" s="18"/>
      <c r="Q92" s="18"/>
      <c r="R92" s="18"/>
      <c r="S92" s="18"/>
      <c r="T92" s="18"/>
      <c r="U92" s="18"/>
      <c r="V92" s="18"/>
      <c r="W92" s="18"/>
      <c r="X92" s="18"/>
      <c r="Y92" s="18"/>
      <c r="Z92" s="18"/>
    </row>
    <row r="93" ht="22.5" customHeight="1">
      <c r="A93" s="28" t="s">
        <v>206</v>
      </c>
      <c r="B93" s="29" t="s">
        <v>36</v>
      </c>
      <c r="C93" s="31">
        <v>3.0</v>
      </c>
      <c r="D93" s="32">
        <v>0.0</v>
      </c>
      <c r="E93" s="43"/>
      <c r="F93" s="18"/>
      <c r="G93" s="18"/>
      <c r="H93" s="18"/>
      <c r="I93" s="18"/>
      <c r="J93" s="18"/>
      <c r="K93" s="18"/>
      <c r="L93" s="18"/>
      <c r="M93" s="18"/>
      <c r="N93" s="18"/>
      <c r="O93" s="18"/>
      <c r="P93" s="18"/>
      <c r="Q93" s="18"/>
      <c r="R93" s="18"/>
      <c r="S93" s="18"/>
      <c r="T93" s="18"/>
      <c r="U93" s="18"/>
      <c r="V93" s="18"/>
      <c r="W93" s="18"/>
      <c r="X93" s="18"/>
      <c r="Y93" s="18"/>
      <c r="Z93" s="18"/>
    </row>
    <row r="94" ht="22.5" customHeight="1">
      <c r="A94" s="22" t="s">
        <v>207</v>
      </c>
      <c r="B94" s="23" t="s">
        <v>36</v>
      </c>
      <c r="C94" s="24">
        <v>3.0</v>
      </c>
      <c r="D94" s="25">
        <v>0.0</v>
      </c>
      <c r="E94" s="45"/>
      <c r="F94" s="18"/>
      <c r="G94" s="18"/>
      <c r="H94" s="18"/>
      <c r="I94" s="18"/>
      <c r="J94" s="18"/>
      <c r="K94" s="18"/>
      <c r="L94" s="18"/>
      <c r="M94" s="18"/>
      <c r="N94" s="18"/>
      <c r="O94" s="18"/>
      <c r="P94" s="18"/>
      <c r="Q94" s="18"/>
      <c r="R94" s="18"/>
      <c r="S94" s="18"/>
      <c r="T94" s="18"/>
      <c r="U94" s="18"/>
      <c r="V94" s="18"/>
      <c r="W94" s="18"/>
      <c r="X94" s="18"/>
      <c r="Y94" s="18"/>
      <c r="Z94" s="18"/>
    </row>
    <row r="95" ht="22.5" customHeight="1">
      <c r="A95" s="28" t="s">
        <v>208</v>
      </c>
      <c r="B95" s="29" t="s">
        <v>36</v>
      </c>
      <c r="C95" s="31">
        <v>3.0</v>
      </c>
      <c r="D95" s="32">
        <v>0.0</v>
      </c>
      <c r="E95" s="43"/>
      <c r="F95" s="18"/>
      <c r="G95" s="18"/>
      <c r="H95" s="18"/>
      <c r="I95" s="18"/>
      <c r="J95" s="18"/>
      <c r="K95" s="18"/>
      <c r="L95" s="18"/>
      <c r="M95" s="18"/>
      <c r="N95" s="18"/>
      <c r="O95" s="18"/>
      <c r="P95" s="18"/>
      <c r="Q95" s="18"/>
      <c r="R95" s="18"/>
      <c r="S95" s="18"/>
      <c r="T95" s="18"/>
      <c r="U95" s="18"/>
      <c r="V95" s="18"/>
      <c r="W95" s="18"/>
      <c r="X95" s="18"/>
      <c r="Y95" s="18"/>
      <c r="Z95" s="18"/>
    </row>
    <row r="96" ht="22.5" customHeight="1">
      <c r="A96" s="22" t="s">
        <v>209</v>
      </c>
      <c r="B96" s="23" t="s">
        <v>36</v>
      </c>
      <c r="C96" s="24">
        <v>3.0</v>
      </c>
      <c r="D96" s="25">
        <v>0.0</v>
      </c>
      <c r="E96" s="45"/>
      <c r="F96" s="18"/>
      <c r="G96" s="18"/>
      <c r="H96" s="18"/>
      <c r="I96" s="18"/>
      <c r="J96" s="18"/>
      <c r="K96" s="18"/>
      <c r="L96" s="18"/>
      <c r="M96" s="18"/>
      <c r="N96" s="18"/>
      <c r="O96" s="18"/>
      <c r="P96" s="18"/>
      <c r="Q96" s="18"/>
      <c r="R96" s="18"/>
      <c r="S96" s="18"/>
      <c r="T96" s="18"/>
      <c r="U96" s="18"/>
      <c r="V96" s="18"/>
      <c r="W96" s="18"/>
      <c r="X96" s="18"/>
      <c r="Y96" s="18"/>
      <c r="Z96" s="18"/>
    </row>
    <row r="97" ht="22.5" customHeight="1">
      <c r="A97" s="28" t="s">
        <v>213</v>
      </c>
      <c r="B97" s="29" t="s">
        <v>36</v>
      </c>
      <c r="C97" s="31">
        <v>3.0</v>
      </c>
      <c r="D97" s="32">
        <v>0.0</v>
      </c>
      <c r="E97" s="43"/>
      <c r="F97" s="18"/>
      <c r="G97" s="18"/>
      <c r="H97" s="18"/>
      <c r="I97" s="18"/>
      <c r="J97" s="18"/>
      <c r="K97" s="18"/>
      <c r="L97" s="18"/>
      <c r="M97" s="18"/>
      <c r="N97" s="18"/>
      <c r="O97" s="18"/>
      <c r="P97" s="18"/>
      <c r="Q97" s="18"/>
      <c r="R97" s="18"/>
      <c r="S97" s="18"/>
      <c r="T97" s="18"/>
      <c r="U97" s="18"/>
      <c r="V97" s="18"/>
      <c r="W97" s="18"/>
      <c r="X97" s="18"/>
      <c r="Y97" s="18"/>
      <c r="Z97" s="18"/>
    </row>
    <row r="98" ht="22.5" customHeight="1">
      <c r="A98" s="22" t="s">
        <v>214</v>
      </c>
      <c r="B98" s="23" t="s">
        <v>36</v>
      </c>
      <c r="C98" s="24">
        <v>3.0</v>
      </c>
      <c r="D98" s="25">
        <v>0.0</v>
      </c>
      <c r="E98" s="45"/>
      <c r="F98" s="18"/>
      <c r="G98" s="18"/>
      <c r="H98" s="18"/>
      <c r="I98" s="18"/>
      <c r="J98" s="18"/>
      <c r="K98" s="18"/>
      <c r="L98" s="18"/>
      <c r="M98" s="18"/>
      <c r="N98" s="18"/>
      <c r="O98" s="18"/>
      <c r="P98" s="18"/>
      <c r="Q98" s="18"/>
      <c r="R98" s="18"/>
      <c r="S98" s="18"/>
      <c r="T98" s="18"/>
      <c r="U98" s="18"/>
      <c r="V98" s="18"/>
      <c r="W98" s="18"/>
      <c r="X98" s="18"/>
      <c r="Y98" s="18"/>
      <c r="Z98" s="18"/>
    </row>
    <row r="99" ht="22.5" customHeight="1">
      <c r="A99" s="28" t="s">
        <v>215</v>
      </c>
      <c r="B99" s="29" t="s">
        <v>36</v>
      </c>
      <c r="C99" s="31">
        <v>3.0</v>
      </c>
      <c r="D99" s="32">
        <v>0.0</v>
      </c>
      <c r="E99" s="43"/>
      <c r="F99" s="18"/>
      <c r="G99" s="18"/>
      <c r="H99" s="18"/>
      <c r="I99" s="18"/>
      <c r="J99" s="18"/>
      <c r="K99" s="18"/>
      <c r="L99" s="18"/>
      <c r="M99" s="18"/>
      <c r="N99" s="18"/>
      <c r="O99" s="18"/>
      <c r="P99" s="18"/>
      <c r="Q99" s="18"/>
      <c r="R99" s="18"/>
      <c r="S99" s="18"/>
      <c r="T99" s="18"/>
      <c r="U99" s="18"/>
      <c r="V99" s="18"/>
      <c r="W99" s="18"/>
      <c r="X99" s="18"/>
      <c r="Y99" s="18"/>
      <c r="Z99" s="18"/>
    </row>
    <row r="100" ht="22.5" customHeight="1">
      <c r="A100" s="22" t="s">
        <v>216</v>
      </c>
      <c r="B100" s="23" t="s">
        <v>36</v>
      </c>
      <c r="C100" s="24">
        <v>3.0</v>
      </c>
      <c r="D100" s="25">
        <v>0.0</v>
      </c>
      <c r="E100" s="45"/>
      <c r="F100" s="18"/>
      <c r="G100" s="18"/>
      <c r="H100" s="18"/>
      <c r="I100" s="18"/>
      <c r="J100" s="18"/>
      <c r="K100" s="18"/>
      <c r="L100" s="18"/>
      <c r="M100" s="18"/>
      <c r="N100" s="18"/>
      <c r="O100" s="18"/>
      <c r="P100" s="18"/>
      <c r="Q100" s="18"/>
      <c r="R100" s="18"/>
      <c r="S100" s="18"/>
      <c r="T100" s="18"/>
      <c r="U100" s="18"/>
      <c r="V100" s="18"/>
      <c r="W100" s="18"/>
      <c r="X100" s="18"/>
      <c r="Y100" s="18"/>
      <c r="Z100" s="18"/>
    </row>
    <row r="101" ht="22.5" customHeight="1">
      <c r="A101" s="28" t="s">
        <v>217</v>
      </c>
      <c r="B101" s="29" t="s">
        <v>36</v>
      </c>
      <c r="C101" s="31">
        <v>3.0</v>
      </c>
      <c r="D101" s="32">
        <v>0.0</v>
      </c>
      <c r="E101" s="43"/>
      <c r="F101" s="18"/>
      <c r="G101" s="18"/>
      <c r="H101" s="18"/>
      <c r="I101" s="18"/>
      <c r="J101" s="18"/>
      <c r="K101" s="18"/>
      <c r="L101" s="18"/>
      <c r="M101" s="18"/>
      <c r="N101" s="18"/>
      <c r="O101" s="18"/>
      <c r="P101" s="18"/>
      <c r="Q101" s="18"/>
      <c r="R101" s="18"/>
      <c r="S101" s="18"/>
      <c r="T101" s="18"/>
      <c r="U101" s="18"/>
      <c r="V101" s="18"/>
      <c r="W101" s="18"/>
      <c r="X101" s="18"/>
      <c r="Y101" s="18"/>
      <c r="Z101" s="18"/>
    </row>
    <row r="102" ht="22.5" customHeight="1">
      <c r="A102" s="22" t="s">
        <v>220</v>
      </c>
      <c r="B102" s="23" t="s">
        <v>36</v>
      </c>
      <c r="C102" s="24">
        <v>3.0</v>
      </c>
      <c r="D102" s="25">
        <v>0.0</v>
      </c>
      <c r="E102" s="45"/>
      <c r="F102" s="18"/>
      <c r="G102" s="18"/>
      <c r="H102" s="18"/>
      <c r="I102" s="18"/>
      <c r="J102" s="18"/>
      <c r="K102" s="18"/>
      <c r="L102" s="18"/>
      <c r="M102" s="18"/>
      <c r="N102" s="18"/>
      <c r="O102" s="18"/>
      <c r="P102" s="18"/>
      <c r="Q102" s="18"/>
      <c r="R102" s="18"/>
      <c r="S102" s="18"/>
      <c r="T102" s="18"/>
      <c r="U102" s="18"/>
      <c r="V102" s="18"/>
      <c r="W102" s="18"/>
      <c r="X102" s="18"/>
      <c r="Y102" s="18"/>
      <c r="Z102" s="18"/>
    </row>
    <row r="103" ht="22.5" customHeight="1">
      <c r="A103" s="28" t="s">
        <v>222</v>
      </c>
      <c r="B103" s="29" t="s">
        <v>36</v>
      </c>
      <c r="C103" s="31">
        <v>3.0</v>
      </c>
      <c r="D103" s="32">
        <v>0.0</v>
      </c>
      <c r="E103" s="43"/>
      <c r="F103" s="18"/>
      <c r="G103" s="18"/>
      <c r="H103" s="18"/>
      <c r="I103" s="18"/>
      <c r="J103" s="18"/>
      <c r="K103" s="18"/>
      <c r="L103" s="18"/>
      <c r="M103" s="18"/>
      <c r="N103" s="18"/>
      <c r="O103" s="18"/>
      <c r="P103" s="18"/>
      <c r="Q103" s="18"/>
      <c r="R103" s="18"/>
      <c r="S103" s="18"/>
      <c r="T103" s="18"/>
      <c r="U103" s="18"/>
      <c r="V103" s="18"/>
      <c r="W103" s="18"/>
      <c r="X103" s="18"/>
      <c r="Y103" s="18"/>
      <c r="Z103" s="18"/>
    </row>
    <row r="104" ht="22.5" customHeight="1">
      <c r="A104" s="22" t="s">
        <v>223</v>
      </c>
      <c r="B104" s="23" t="s">
        <v>36</v>
      </c>
      <c r="C104" s="24">
        <v>3.0</v>
      </c>
      <c r="D104" s="25">
        <v>0.0</v>
      </c>
      <c r="E104" s="45"/>
      <c r="F104" s="18"/>
      <c r="G104" s="18"/>
      <c r="H104" s="18"/>
      <c r="I104" s="18"/>
      <c r="J104" s="18"/>
      <c r="K104" s="18"/>
      <c r="L104" s="18"/>
      <c r="M104" s="18"/>
      <c r="N104" s="18"/>
      <c r="O104" s="18"/>
      <c r="P104" s="18"/>
      <c r="Q104" s="18"/>
      <c r="R104" s="18"/>
      <c r="S104" s="18"/>
      <c r="T104" s="18"/>
      <c r="U104" s="18"/>
      <c r="V104" s="18"/>
      <c r="W104" s="18"/>
      <c r="X104" s="18"/>
      <c r="Y104" s="18"/>
      <c r="Z104" s="18"/>
    </row>
    <row r="105" ht="22.5" customHeight="1">
      <c r="A105" s="28" t="s">
        <v>224</v>
      </c>
      <c r="B105" s="29" t="s">
        <v>36</v>
      </c>
      <c r="C105" s="31">
        <v>3.0</v>
      </c>
      <c r="D105" s="32">
        <v>0.0</v>
      </c>
      <c r="E105" s="43"/>
      <c r="F105" s="18"/>
      <c r="G105" s="18"/>
      <c r="H105" s="18"/>
      <c r="I105" s="18"/>
      <c r="J105" s="18"/>
      <c r="K105" s="18"/>
      <c r="L105" s="18"/>
      <c r="M105" s="18"/>
      <c r="N105" s="18"/>
      <c r="O105" s="18"/>
      <c r="P105" s="18"/>
      <c r="Q105" s="18"/>
      <c r="R105" s="18"/>
      <c r="S105" s="18"/>
      <c r="T105" s="18"/>
      <c r="U105" s="18"/>
      <c r="V105" s="18"/>
      <c r="W105" s="18"/>
      <c r="X105" s="18"/>
      <c r="Y105" s="18"/>
      <c r="Z105" s="18"/>
    </row>
    <row r="106" ht="22.5" customHeight="1">
      <c r="A106" s="22" t="s">
        <v>225</v>
      </c>
      <c r="B106" s="23" t="s">
        <v>36</v>
      </c>
      <c r="C106" s="24">
        <v>3.0</v>
      </c>
      <c r="D106" s="25">
        <v>0.0</v>
      </c>
      <c r="E106" s="45"/>
      <c r="F106" s="18"/>
      <c r="G106" s="18"/>
      <c r="H106" s="18"/>
      <c r="I106" s="18"/>
      <c r="J106" s="18"/>
      <c r="K106" s="18"/>
      <c r="L106" s="18"/>
      <c r="M106" s="18"/>
      <c r="N106" s="18"/>
      <c r="O106" s="18"/>
      <c r="P106" s="18"/>
      <c r="Q106" s="18"/>
      <c r="R106" s="18"/>
      <c r="S106" s="18"/>
      <c r="T106" s="18"/>
      <c r="U106" s="18"/>
      <c r="V106" s="18"/>
      <c r="W106" s="18"/>
      <c r="X106" s="18"/>
      <c r="Y106" s="18"/>
      <c r="Z106" s="18"/>
    </row>
    <row r="107" ht="22.5" customHeight="1">
      <c r="A107" s="28" t="s">
        <v>227</v>
      </c>
      <c r="B107" s="29" t="s">
        <v>36</v>
      </c>
      <c r="C107" s="31">
        <v>3.0</v>
      </c>
      <c r="D107" s="32">
        <v>0.0</v>
      </c>
      <c r="E107" s="43"/>
      <c r="F107" s="18"/>
      <c r="G107" s="18"/>
      <c r="H107" s="18"/>
      <c r="I107" s="18"/>
      <c r="J107" s="18"/>
      <c r="K107" s="18"/>
      <c r="L107" s="18"/>
      <c r="M107" s="18"/>
      <c r="N107" s="18"/>
      <c r="O107" s="18"/>
      <c r="P107" s="18"/>
      <c r="Q107" s="18"/>
      <c r="R107" s="18"/>
      <c r="S107" s="18"/>
      <c r="T107" s="18"/>
      <c r="U107" s="18"/>
      <c r="V107" s="18"/>
      <c r="W107" s="18"/>
      <c r="X107" s="18"/>
      <c r="Y107" s="18"/>
      <c r="Z107" s="18"/>
    </row>
    <row r="108" ht="22.5" customHeight="1">
      <c r="A108" s="22" t="s">
        <v>230</v>
      </c>
      <c r="B108" s="23" t="s">
        <v>36</v>
      </c>
      <c r="C108" s="24">
        <v>3.0</v>
      </c>
      <c r="D108" s="25">
        <v>0.0</v>
      </c>
      <c r="E108" s="45"/>
      <c r="F108" s="18"/>
      <c r="G108" s="18"/>
      <c r="H108" s="18"/>
      <c r="I108" s="18"/>
      <c r="J108" s="18"/>
      <c r="K108" s="18"/>
      <c r="L108" s="18"/>
      <c r="M108" s="18"/>
      <c r="N108" s="18"/>
      <c r="O108" s="18"/>
      <c r="P108" s="18"/>
      <c r="Q108" s="18"/>
      <c r="R108" s="18"/>
      <c r="S108" s="18"/>
      <c r="T108" s="18"/>
      <c r="U108" s="18"/>
      <c r="V108" s="18"/>
      <c r="W108" s="18"/>
      <c r="X108" s="18"/>
      <c r="Y108" s="18"/>
      <c r="Z108" s="18"/>
    </row>
    <row r="109" ht="22.5" customHeight="1">
      <c r="A109" s="28" t="s">
        <v>231</v>
      </c>
      <c r="B109" s="29" t="s">
        <v>36</v>
      </c>
      <c r="C109" s="31">
        <v>3.0</v>
      </c>
      <c r="D109" s="32">
        <v>0.0</v>
      </c>
      <c r="E109" s="43"/>
      <c r="F109" s="18"/>
      <c r="G109" s="18"/>
      <c r="H109" s="18"/>
      <c r="I109" s="18"/>
      <c r="J109" s="18"/>
      <c r="K109" s="18"/>
      <c r="L109" s="18"/>
      <c r="M109" s="18"/>
      <c r="N109" s="18"/>
      <c r="O109" s="18"/>
      <c r="P109" s="18"/>
      <c r="Q109" s="18"/>
      <c r="R109" s="18"/>
      <c r="S109" s="18"/>
      <c r="T109" s="18"/>
      <c r="U109" s="18"/>
      <c r="V109" s="18"/>
      <c r="W109" s="18"/>
      <c r="X109" s="18"/>
      <c r="Y109" s="18"/>
      <c r="Z109" s="18"/>
    </row>
    <row r="110" ht="22.5" customHeight="1">
      <c r="A110" s="22" t="s">
        <v>232</v>
      </c>
      <c r="B110" s="23" t="s">
        <v>36</v>
      </c>
      <c r="C110" s="24">
        <v>3.0</v>
      </c>
      <c r="D110" s="25">
        <v>0.0</v>
      </c>
      <c r="E110" s="45"/>
      <c r="F110" s="18"/>
      <c r="G110" s="18"/>
      <c r="H110" s="18"/>
      <c r="I110" s="18"/>
      <c r="J110" s="18"/>
      <c r="K110" s="18"/>
      <c r="L110" s="18"/>
      <c r="M110" s="18"/>
      <c r="N110" s="18"/>
      <c r="O110" s="18"/>
      <c r="P110" s="18"/>
      <c r="Q110" s="18"/>
      <c r="R110" s="18"/>
      <c r="S110" s="18"/>
      <c r="T110" s="18"/>
      <c r="U110" s="18"/>
      <c r="V110" s="18"/>
      <c r="W110" s="18"/>
      <c r="X110" s="18"/>
      <c r="Y110" s="18"/>
      <c r="Z110" s="18"/>
    </row>
    <row r="111" ht="22.5" customHeight="1">
      <c r="A111" s="28" t="s">
        <v>233</v>
      </c>
      <c r="B111" s="29" t="s">
        <v>36</v>
      </c>
      <c r="C111" s="31">
        <v>3.0</v>
      </c>
      <c r="D111" s="32">
        <v>0.0</v>
      </c>
      <c r="E111" s="43"/>
      <c r="F111" s="18"/>
      <c r="G111" s="18"/>
      <c r="H111" s="18"/>
      <c r="I111" s="18"/>
      <c r="J111" s="18"/>
      <c r="K111" s="18"/>
      <c r="L111" s="18"/>
      <c r="M111" s="18"/>
      <c r="N111" s="18"/>
      <c r="O111" s="18"/>
      <c r="P111" s="18"/>
      <c r="Q111" s="18"/>
      <c r="R111" s="18"/>
      <c r="S111" s="18"/>
      <c r="T111" s="18"/>
      <c r="U111" s="18"/>
      <c r="V111" s="18"/>
      <c r="W111" s="18"/>
      <c r="X111" s="18"/>
      <c r="Y111" s="18"/>
      <c r="Z111" s="18"/>
    </row>
    <row r="112" ht="22.5" customHeight="1">
      <c r="A112" s="22" t="s">
        <v>234</v>
      </c>
      <c r="B112" s="23" t="s">
        <v>36</v>
      </c>
      <c r="C112" s="24">
        <v>3.0</v>
      </c>
      <c r="D112" s="25">
        <v>0.0</v>
      </c>
      <c r="E112" s="45"/>
      <c r="F112" s="18"/>
      <c r="G112" s="18"/>
      <c r="H112" s="18"/>
      <c r="I112" s="18"/>
      <c r="J112" s="18"/>
      <c r="K112" s="18"/>
      <c r="L112" s="18"/>
      <c r="M112" s="18"/>
      <c r="N112" s="18"/>
      <c r="O112" s="18"/>
      <c r="P112" s="18"/>
      <c r="Q112" s="18"/>
      <c r="R112" s="18"/>
      <c r="S112" s="18"/>
      <c r="T112" s="18"/>
      <c r="U112" s="18"/>
      <c r="V112" s="18"/>
      <c r="W112" s="18"/>
      <c r="X112" s="18"/>
      <c r="Y112" s="18"/>
      <c r="Z112" s="18"/>
    </row>
    <row r="113" ht="22.5" customHeight="1">
      <c r="A113" s="28" t="s">
        <v>235</v>
      </c>
      <c r="B113" s="29" t="s">
        <v>36</v>
      </c>
      <c r="C113" s="31">
        <v>3.0</v>
      </c>
      <c r="D113" s="32">
        <v>0.0</v>
      </c>
      <c r="E113" s="43"/>
      <c r="F113" s="18"/>
      <c r="G113" s="18"/>
      <c r="H113" s="18"/>
      <c r="I113" s="18"/>
      <c r="J113" s="18"/>
      <c r="K113" s="18"/>
      <c r="L113" s="18"/>
      <c r="M113" s="18"/>
      <c r="N113" s="18"/>
      <c r="O113" s="18"/>
      <c r="P113" s="18"/>
      <c r="Q113" s="18"/>
      <c r="R113" s="18"/>
      <c r="S113" s="18"/>
      <c r="T113" s="18"/>
      <c r="U113" s="18"/>
      <c r="V113" s="18"/>
      <c r="W113" s="18"/>
      <c r="X113" s="18"/>
      <c r="Y113" s="18"/>
      <c r="Z113" s="18"/>
    </row>
    <row r="114" ht="22.5" customHeight="1">
      <c r="A114" s="22" t="s">
        <v>161</v>
      </c>
      <c r="B114" s="23" t="s">
        <v>76</v>
      </c>
      <c r="C114" s="24">
        <v>3.0</v>
      </c>
      <c r="D114" s="25">
        <v>0.0</v>
      </c>
      <c r="E114" s="45"/>
      <c r="F114" s="18"/>
      <c r="G114" s="18"/>
      <c r="H114" s="18"/>
      <c r="I114" s="18"/>
      <c r="J114" s="18"/>
      <c r="K114" s="18"/>
      <c r="L114" s="18"/>
      <c r="M114" s="18"/>
      <c r="N114" s="18"/>
      <c r="O114" s="18"/>
      <c r="P114" s="18"/>
      <c r="Q114" s="18"/>
      <c r="R114" s="18"/>
      <c r="S114" s="18"/>
      <c r="T114" s="18"/>
      <c r="U114" s="18"/>
      <c r="V114" s="18"/>
      <c r="W114" s="18"/>
      <c r="X114" s="18"/>
      <c r="Y114" s="18"/>
      <c r="Z114" s="18"/>
    </row>
    <row r="115" ht="22.5" customHeight="1">
      <c r="A115" s="28" t="s">
        <v>239</v>
      </c>
      <c r="B115" s="29" t="s">
        <v>36</v>
      </c>
      <c r="C115" s="31">
        <v>3.0</v>
      </c>
      <c r="D115" s="32">
        <v>0.0</v>
      </c>
      <c r="E115" s="43"/>
      <c r="F115" s="18"/>
      <c r="G115" s="18"/>
      <c r="H115" s="18"/>
      <c r="I115" s="18"/>
      <c r="J115" s="18"/>
      <c r="K115" s="18"/>
      <c r="L115" s="18"/>
      <c r="M115" s="18"/>
      <c r="N115" s="18"/>
      <c r="O115" s="18"/>
      <c r="P115" s="18"/>
      <c r="Q115" s="18"/>
      <c r="R115" s="18"/>
      <c r="S115" s="18"/>
      <c r="T115" s="18"/>
      <c r="U115" s="18"/>
      <c r="V115" s="18"/>
      <c r="W115" s="18"/>
      <c r="X115" s="18"/>
      <c r="Y115" s="18"/>
      <c r="Z115" s="18"/>
    </row>
    <row r="116" ht="22.5" customHeight="1">
      <c r="A116" s="22" t="s">
        <v>240</v>
      </c>
      <c r="B116" s="23" t="s">
        <v>36</v>
      </c>
      <c r="C116" s="24">
        <v>3.0</v>
      </c>
      <c r="D116" s="25">
        <v>0.0</v>
      </c>
      <c r="E116" s="45"/>
      <c r="F116" s="18"/>
      <c r="G116" s="18"/>
      <c r="H116" s="18"/>
      <c r="I116" s="18"/>
      <c r="J116" s="18"/>
      <c r="K116" s="18"/>
      <c r="L116" s="18"/>
      <c r="M116" s="18"/>
      <c r="N116" s="18"/>
      <c r="O116" s="18"/>
      <c r="P116" s="18"/>
      <c r="Q116" s="18"/>
      <c r="R116" s="18"/>
      <c r="S116" s="18"/>
      <c r="T116" s="18"/>
      <c r="U116" s="18"/>
      <c r="V116" s="18"/>
      <c r="W116" s="18"/>
      <c r="X116" s="18"/>
      <c r="Y116" s="18"/>
      <c r="Z116" s="18"/>
    </row>
    <row r="117" ht="22.5" customHeight="1">
      <c r="A117" s="28" t="s">
        <v>241</v>
      </c>
      <c r="B117" s="29" t="s">
        <v>36</v>
      </c>
      <c r="C117" s="31">
        <v>3.0</v>
      </c>
      <c r="D117" s="32">
        <v>0.0</v>
      </c>
      <c r="E117" s="43"/>
      <c r="F117" s="18"/>
      <c r="G117" s="18"/>
      <c r="H117" s="18"/>
      <c r="I117" s="18"/>
      <c r="J117" s="18"/>
      <c r="K117" s="18"/>
      <c r="L117" s="18"/>
      <c r="M117" s="18"/>
      <c r="N117" s="18"/>
      <c r="O117" s="18"/>
      <c r="P117" s="18"/>
      <c r="Q117" s="18"/>
      <c r="R117" s="18"/>
      <c r="S117" s="18"/>
      <c r="T117" s="18"/>
      <c r="U117" s="18"/>
      <c r="V117" s="18"/>
      <c r="W117" s="18"/>
      <c r="X117" s="18"/>
      <c r="Y117" s="18"/>
      <c r="Z117" s="18"/>
    </row>
    <row r="118" ht="22.5" customHeight="1">
      <c r="A118" s="22" t="s">
        <v>242</v>
      </c>
      <c r="B118" s="23" t="s">
        <v>36</v>
      </c>
      <c r="C118" s="24">
        <v>3.0</v>
      </c>
      <c r="D118" s="25">
        <v>0.0</v>
      </c>
      <c r="E118" s="45"/>
      <c r="F118" s="18"/>
      <c r="G118" s="18"/>
      <c r="H118" s="18"/>
      <c r="I118" s="18"/>
      <c r="J118" s="18"/>
      <c r="K118" s="18"/>
      <c r="L118" s="18"/>
      <c r="M118" s="18"/>
      <c r="N118" s="18"/>
      <c r="O118" s="18"/>
      <c r="P118" s="18"/>
      <c r="Q118" s="18"/>
      <c r="R118" s="18"/>
      <c r="S118" s="18"/>
      <c r="T118" s="18"/>
      <c r="U118" s="18"/>
      <c r="V118" s="18"/>
      <c r="W118" s="18"/>
      <c r="X118" s="18"/>
      <c r="Y118" s="18"/>
      <c r="Z118" s="18"/>
    </row>
    <row r="119" ht="22.5" customHeight="1">
      <c r="A119" s="28" t="s">
        <v>244</v>
      </c>
      <c r="B119" s="29" t="s">
        <v>36</v>
      </c>
      <c r="C119" s="31">
        <v>3.0</v>
      </c>
      <c r="D119" s="32">
        <v>0.0</v>
      </c>
      <c r="E119" s="43"/>
      <c r="F119" s="18"/>
      <c r="G119" s="18"/>
      <c r="H119" s="18"/>
      <c r="I119" s="18"/>
      <c r="J119" s="18"/>
      <c r="K119" s="18"/>
      <c r="L119" s="18"/>
      <c r="M119" s="18"/>
      <c r="N119" s="18"/>
      <c r="O119" s="18"/>
      <c r="P119" s="18"/>
      <c r="Q119" s="18"/>
      <c r="R119" s="18"/>
      <c r="S119" s="18"/>
      <c r="T119" s="18"/>
      <c r="U119" s="18"/>
      <c r="V119" s="18"/>
      <c r="W119" s="18"/>
      <c r="X119" s="18"/>
      <c r="Y119" s="18"/>
      <c r="Z119" s="18"/>
    </row>
    <row r="120" ht="22.5" customHeight="1">
      <c r="A120" s="22" t="s">
        <v>247</v>
      </c>
      <c r="B120" s="23" t="s">
        <v>36</v>
      </c>
      <c r="C120" s="24">
        <v>3.0</v>
      </c>
      <c r="D120" s="25">
        <v>0.0</v>
      </c>
      <c r="E120" s="45"/>
      <c r="F120" s="18"/>
      <c r="G120" s="18"/>
      <c r="H120" s="18"/>
      <c r="I120" s="18"/>
      <c r="J120" s="18"/>
      <c r="K120" s="18"/>
      <c r="L120" s="18"/>
      <c r="M120" s="18"/>
      <c r="N120" s="18"/>
      <c r="O120" s="18"/>
      <c r="P120" s="18"/>
      <c r="Q120" s="18"/>
      <c r="R120" s="18"/>
      <c r="S120" s="18"/>
      <c r="T120" s="18"/>
      <c r="U120" s="18"/>
      <c r="V120" s="18"/>
      <c r="W120" s="18"/>
      <c r="X120" s="18"/>
      <c r="Y120" s="18"/>
      <c r="Z120" s="18"/>
    </row>
    <row r="121" ht="22.5" customHeight="1">
      <c r="A121" s="28" t="s">
        <v>248</v>
      </c>
      <c r="B121" s="29" t="s">
        <v>36</v>
      </c>
      <c r="C121" s="31">
        <v>3.0</v>
      </c>
      <c r="D121" s="32">
        <v>0.0</v>
      </c>
      <c r="E121" s="43"/>
      <c r="F121" s="18"/>
      <c r="G121" s="18"/>
      <c r="H121" s="18"/>
      <c r="I121" s="18"/>
      <c r="J121" s="18"/>
      <c r="K121" s="18"/>
      <c r="L121" s="18"/>
      <c r="M121" s="18"/>
      <c r="N121" s="18"/>
      <c r="O121" s="18"/>
      <c r="P121" s="18"/>
      <c r="Q121" s="18"/>
      <c r="R121" s="18"/>
      <c r="S121" s="18"/>
      <c r="T121" s="18"/>
      <c r="U121" s="18"/>
      <c r="V121" s="18"/>
      <c r="W121" s="18"/>
      <c r="X121" s="18"/>
      <c r="Y121" s="18"/>
      <c r="Z121" s="18"/>
    </row>
    <row r="122" ht="22.5" customHeight="1">
      <c r="A122" s="22" t="s">
        <v>249</v>
      </c>
      <c r="B122" s="23" t="s">
        <v>36</v>
      </c>
      <c r="C122" s="24">
        <v>3.0</v>
      </c>
      <c r="D122" s="25">
        <v>0.0</v>
      </c>
      <c r="E122" s="45"/>
      <c r="F122" s="18"/>
      <c r="G122" s="18"/>
      <c r="H122" s="18"/>
      <c r="I122" s="18"/>
      <c r="J122" s="18"/>
      <c r="K122" s="18"/>
      <c r="L122" s="18"/>
      <c r="M122" s="18"/>
      <c r="N122" s="18"/>
      <c r="O122" s="18"/>
      <c r="P122" s="18"/>
      <c r="Q122" s="18"/>
      <c r="R122" s="18"/>
      <c r="S122" s="18"/>
      <c r="T122" s="18"/>
      <c r="U122" s="18"/>
      <c r="V122" s="18"/>
      <c r="W122" s="18"/>
      <c r="X122" s="18"/>
      <c r="Y122" s="18"/>
      <c r="Z122" s="18"/>
    </row>
    <row r="123" ht="22.5" customHeight="1">
      <c r="A123" s="28" t="s">
        <v>250</v>
      </c>
      <c r="B123" s="29" t="s">
        <v>36</v>
      </c>
      <c r="C123" s="31">
        <v>3.0</v>
      </c>
      <c r="D123" s="32">
        <v>0.0</v>
      </c>
      <c r="E123" s="43"/>
      <c r="F123" s="18"/>
      <c r="G123" s="18"/>
      <c r="H123" s="18"/>
      <c r="I123" s="18"/>
      <c r="J123" s="18"/>
      <c r="K123" s="18"/>
      <c r="L123" s="18"/>
      <c r="M123" s="18"/>
      <c r="N123" s="18"/>
      <c r="O123" s="18"/>
      <c r="P123" s="18"/>
      <c r="Q123" s="18"/>
      <c r="R123" s="18"/>
      <c r="S123" s="18"/>
      <c r="T123" s="18"/>
      <c r="U123" s="18"/>
      <c r="V123" s="18"/>
      <c r="W123" s="18"/>
      <c r="X123" s="18"/>
      <c r="Y123" s="18"/>
      <c r="Z123" s="18"/>
    </row>
    <row r="124" ht="22.5" customHeight="1">
      <c r="A124" s="22" t="s">
        <v>251</v>
      </c>
      <c r="B124" s="23" t="s">
        <v>36</v>
      </c>
      <c r="C124" s="24">
        <v>3.0</v>
      </c>
      <c r="D124" s="25">
        <v>0.0</v>
      </c>
      <c r="E124" s="45"/>
      <c r="F124" s="18"/>
      <c r="G124" s="18"/>
      <c r="H124" s="18"/>
      <c r="I124" s="18"/>
      <c r="J124" s="18"/>
      <c r="K124" s="18"/>
      <c r="L124" s="18"/>
      <c r="M124" s="18"/>
      <c r="N124" s="18"/>
      <c r="O124" s="18"/>
      <c r="P124" s="18"/>
      <c r="Q124" s="18"/>
      <c r="R124" s="18"/>
      <c r="S124" s="18"/>
      <c r="T124" s="18"/>
      <c r="U124" s="18"/>
      <c r="V124" s="18"/>
      <c r="W124" s="18"/>
      <c r="X124" s="18"/>
      <c r="Y124" s="18"/>
      <c r="Z124" s="18"/>
    </row>
    <row r="125" ht="22.5" customHeight="1">
      <c r="A125" s="28" t="s">
        <v>254</v>
      </c>
      <c r="B125" s="29" t="s">
        <v>36</v>
      </c>
      <c r="C125" s="31">
        <v>3.0</v>
      </c>
      <c r="D125" s="32">
        <v>0.0</v>
      </c>
      <c r="E125" s="43"/>
      <c r="F125" s="18"/>
      <c r="G125" s="18"/>
      <c r="H125" s="18"/>
      <c r="I125" s="18"/>
      <c r="J125" s="18"/>
      <c r="K125" s="18"/>
      <c r="L125" s="18"/>
      <c r="M125" s="18"/>
      <c r="N125" s="18"/>
      <c r="O125" s="18"/>
      <c r="P125" s="18"/>
      <c r="Q125" s="18"/>
      <c r="R125" s="18"/>
      <c r="S125" s="18"/>
      <c r="T125" s="18"/>
      <c r="U125" s="18"/>
      <c r="V125" s="18"/>
      <c r="W125" s="18"/>
      <c r="X125" s="18"/>
      <c r="Y125" s="18"/>
      <c r="Z125" s="18"/>
    </row>
    <row r="126" ht="22.5" customHeight="1">
      <c r="A126" s="22" t="s">
        <v>255</v>
      </c>
      <c r="B126" s="23" t="s">
        <v>36</v>
      </c>
      <c r="C126" s="24">
        <v>3.0</v>
      </c>
      <c r="D126" s="25">
        <v>0.0</v>
      </c>
      <c r="E126" s="45"/>
      <c r="F126" s="18"/>
      <c r="G126" s="18"/>
      <c r="H126" s="18"/>
      <c r="I126" s="18"/>
      <c r="J126" s="18"/>
      <c r="K126" s="18"/>
      <c r="L126" s="18"/>
      <c r="M126" s="18"/>
      <c r="N126" s="18"/>
      <c r="O126" s="18"/>
      <c r="P126" s="18"/>
      <c r="Q126" s="18"/>
      <c r="R126" s="18"/>
      <c r="S126" s="18"/>
      <c r="T126" s="18"/>
      <c r="U126" s="18"/>
      <c r="V126" s="18"/>
      <c r="W126" s="18"/>
      <c r="X126" s="18"/>
      <c r="Y126" s="18"/>
      <c r="Z126" s="18"/>
    </row>
    <row r="127" ht="22.5" customHeight="1">
      <c r="A127" s="28" t="s">
        <v>256</v>
      </c>
      <c r="B127" s="29" t="s">
        <v>36</v>
      </c>
      <c r="C127" s="31">
        <v>3.0</v>
      </c>
      <c r="D127" s="32">
        <v>0.0</v>
      </c>
      <c r="E127" s="43"/>
      <c r="F127" s="18"/>
      <c r="G127" s="18"/>
      <c r="H127" s="18"/>
      <c r="I127" s="18"/>
      <c r="J127" s="18"/>
      <c r="K127" s="18"/>
      <c r="L127" s="18"/>
      <c r="M127" s="18"/>
      <c r="N127" s="18"/>
      <c r="O127" s="18"/>
      <c r="P127" s="18"/>
      <c r="Q127" s="18"/>
      <c r="R127" s="18"/>
      <c r="S127" s="18"/>
      <c r="T127" s="18"/>
      <c r="U127" s="18"/>
      <c r="V127" s="18"/>
      <c r="W127" s="18"/>
      <c r="X127" s="18"/>
      <c r="Y127" s="18"/>
      <c r="Z127" s="18"/>
    </row>
    <row r="128" ht="22.5" customHeight="1">
      <c r="A128" s="22" t="s">
        <v>257</v>
      </c>
      <c r="B128" s="23" t="s">
        <v>36</v>
      </c>
      <c r="C128" s="24">
        <v>3.0</v>
      </c>
      <c r="D128" s="25">
        <v>0.0</v>
      </c>
      <c r="E128" s="45"/>
      <c r="F128" s="18"/>
      <c r="G128" s="18"/>
      <c r="H128" s="18"/>
      <c r="I128" s="18"/>
      <c r="J128" s="18"/>
      <c r="K128" s="18"/>
      <c r="L128" s="18"/>
      <c r="M128" s="18"/>
      <c r="N128" s="18"/>
      <c r="O128" s="18"/>
      <c r="P128" s="18"/>
      <c r="Q128" s="18"/>
      <c r="R128" s="18"/>
      <c r="S128" s="18"/>
      <c r="T128" s="18"/>
      <c r="U128" s="18"/>
      <c r="V128" s="18"/>
      <c r="W128" s="18"/>
      <c r="X128" s="18"/>
      <c r="Y128" s="18"/>
      <c r="Z128" s="18"/>
    </row>
    <row r="129" ht="22.5" customHeight="1">
      <c r="A129" s="28" t="s">
        <v>259</v>
      </c>
      <c r="B129" s="29" t="s">
        <v>36</v>
      </c>
      <c r="C129" s="31">
        <v>3.0</v>
      </c>
      <c r="D129" s="32">
        <v>0.0</v>
      </c>
      <c r="E129" s="43"/>
      <c r="F129" s="18"/>
      <c r="G129" s="18"/>
      <c r="H129" s="18"/>
      <c r="I129" s="18"/>
      <c r="J129" s="18"/>
      <c r="K129" s="18"/>
      <c r="L129" s="18"/>
      <c r="M129" s="18"/>
      <c r="N129" s="18"/>
      <c r="O129" s="18"/>
      <c r="P129" s="18"/>
      <c r="Q129" s="18"/>
      <c r="R129" s="18"/>
      <c r="S129" s="18"/>
      <c r="T129" s="18"/>
      <c r="U129" s="18"/>
      <c r="V129" s="18"/>
      <c r="W129" s="18"/>
      <c r="X129" s="18"/>
      <c r="Y129" s="18"/>
      <c r="Z129" s="18"/>
    </row>
    <row r="130" ht="22.5" customHeight="1">
      <c r="A130" s="22" t="s">
        <v>262</v>
      </c>
      <c r="B130" s="23" t="s">
        <v>36</v>
      </c>
      <c r="C130" s="24">
        <v>3.0</v>
      </c>
      <c r="D130" s="25">
        <v>0.0</v>
      </c>
      <c r="E130" s="45"/>
      <c r="F130" s="18"/>
      <c r="G130" s="18"/>
      <c r="H130" s="18"/>
      <c r="I130" s="18"/>
      <c r="J130" s="18"/>
      <c r="K130" s="18"/>
      <c r="L130" s="18"/>
      <c r="M130" s="18"/>
      <c r="N130" s="18"/>
      <c r="O130" s="18"/>
      <c r="P130" s="18"/>
      <c r="Q130" s="18"/>
      <c r="R130" s="18"/>
      <c r="S130" s="18"/>
      <c r="T130" s="18"/>
      <c r="U130" s="18"/>
      <c r="V130" s="18"/>
      <c r="W130" s="18"/>
      <c r="X130" s="18"/>
      <c r="Y130" s="18"/>
      <c r="Z130" s="18"/>
    </row>
    <row r="131" ht="22.5" customHeight="1">
      <c r="A131" s="28" t="s">
        <v>263</v>
      </c>
      <c r="B131" s="29" t="s">
        <v>36</v>
      </c>
      <c r="C131" s="31">
        <v>3.0</v>
      </c>
      <c r="D131" s="32">
        <v>0.0</v>
      </c>
      <c r="E131" s="43"/>
      <c r="F131" s="18"/>
      <c r="G131" s="18"/>
      <c r="H131" s="18"/>
      <c r="I131" s="18"/>
      <c r="J131" s="18"/>
      <c r="K131" s="18"/>
      <c r="L131" s="18"/>
      <c r="M131" s="18"/>
      <c r="N131" s="18"/>
      <c r="O131" s="18"/>
      <c r="P131" s="18"/>
      <c r="Q131" s="18"/>
      <c r="R131" s="18"/>
      <c r="S131" s="18"/>
      <c r="T131" s="18"/>
      <c r="U131" s="18"/>
      <c r="V131" s="18"/>
      <c r="W131" s="18"/>
      <c r="X131" s="18"/>
      <c r="Y131" s="18"/>
      <c r="Z131" s="18"/>
    </row>
    <row r="132" ht="22.5" customHeight="1">
      <c r="A132" s="22" t="s">
        <v>264</v>
      </c>
      <c r="B132" s="23" t="s">
        <v>36</v>
      </c>
      <c r="C132" s="24">
        <v>3.0</v>
      </c>
      <c r="D132" s="25">
        <v>0.0</v>
      </c>
      <c r="E132" s="45"/>
      <c r="F132" s="18"/>
      <c r="G132" s="18"/>
      <c r="H132" s="18"/>
      <c r="I132" s="18"/>
      <c r="J132" s="18"/>
      <c r="K132" s="18"/>
      <c r="L132" s="18"/>
      <c r="M132" s="18"/>
      <c r="N132" s="18"/>
      <c r="O132" s="18"/>
      <c r="P132" s="18"/>
      <c r="Q132" s="18"/>
      <c r="R132" s="18"/>
      <c r="S132" s="18"/>
      <c r="T132" s="18"/>
      <c r="U132" s="18"/>
      <c r="V132" s="18"/>
      <c r="W132" s="18"/>
      <c r="X132" s="18"/>
      <c r="Y132" s="18"/>
      <c r="Z132" s="18"/>
    </row>
    <row r="133" ht="22.5" customHeight="1">
      <c r="A133" s="28" t="s">
        <v>265</v>
      </c>
      <c r="B133" s="29" t="s">
        <v>36</v>
      </c>
      <c r="C133" s="31">
        <v>3.0</v>
      </c>
      <c r="D133" s="32">
        <v>0.0</v>
      </c>
      <c r="E133" s="43"/>
      <c r="F133" s="18"/>
      <c r="G133" s="18"/>
      <c r="H133" s="18"/>
      <c r="I133" s="18"/>
      <c r="J133" s="18"/>
      <c r="K133" s="18"/>
      <c r="L133" s="18"/>
      <c r="M133" s="18"/>
      <c r="N133" s="18"/>
      <c r="O133" s="18"/>
      <c r="P133" s="18"/>
      <c r="Q133" s="18"/>
      <c r="R133" s="18"/>
      <c r="S133" s="18"/>
      <c r="T133" s="18"/>
      <c r="U133" s="18"/>
      <c r="V133" s="18"/>
      <c r="W133" s="18"/>
      <c r="X133" s="18"/>
      <c r="Y133" s="18"/>
      <c r="Z133" s="18"/>
    </row>
    <row r="134" ht="22.5" customHeight="1">
      <c r="A134" s="22" t="s">
        <v>269</v>
      </c>
      <c r="B134" s="23" t="s">
        <v>36</v>
      </c>
      <c r="C134" s="24">
        <v>3.0</v>
      </c>
      <c r="D134" s="25">
        <v>0.0</v>
      </c>
      <c r="E134" s="45"/>
      <c r="F134" s="18"/>
      <c r="G134" s="18"/>
      <c r="H134" s="18"/>
      <c r="I134" s="18"/>
      <c r="J134" s="18"/>
      <c r="K134" s="18"/>
      <c r="L134" s="18"/>
      <c r="M134" s="18"/>
      <c r="N134" s="18"/>
      <c r="O134" s="18"/>
      <c r="P134" s="18"/>
      <c r="Q134" s="18"/>
      <c r="R134" s="18"/>
      <c r="S134" s="18"/>
      <c r="T134" s="18"/>
      <c r="U134" s="18"/>
      <c r="V134" s="18"/>
      <c r="W134" s="18"/>
      <c r="X134" s="18"/>
      <c r="Y134" s="18"/>
      <c r="Z134" s="18"/>
    </row>
    <row r="135" ht="22.5" customHeight="1">
      <c r="A135" s="28" t="s">
        <v>270</v>
      </c>
      <c r="B135" s="29" t="s">
        <v>36</v>
      </c>
      <c r="C135" s="31">
        <v>3.0</v>
      </c>
      <c r="D135" s="32">
        <v>0.0</v>
      </c>
      <c r="E135" s="43"/>
      <c r="F135" s="18"/>
      <c r="G135" s="18"/>
      <c r="H135" s="18"/>
      <c r="I135" s="18"/>
      <c r="J135" s="18"/>
      <c r="K135" s="18"/>
      <c r="L135" s="18"/>
      <c r="M135" s="18"/>
      <c r="N135" s="18"/>
      <c r="O135" s="18"/>
      <c r="P135" s="18"/>
      <c r="Q135" s="18"/>
      <c r="R135" s="18"/>
      <c r="S135" s="18"/>
      <c r="T135" s="18"/>
      <c r="U135" s="18"/>
      <c r="V135" s="18"/>
      <c r="W135" s="18"/>
      <c r="X135" s="18"/>
      <c r="Y135" s="18"/>
      <c r="Z135" s="18"/>
    </row>
    <row r="136" ht="22.5" customHeight="1">
      <c r="A136" s="22" t="s">
        <v>271</v>
      </c>
      <c r="B136" s="23" t="s">
        <v>36</v>
      </c>
      <c r="C136" s="24">
        <v>3.0</v>
      </c>
      <c r="D136" s="25">
        <v>0.0</v>
      </c>
      <c r="E136" s="45"/>
      <c r="F136" s="18"/>
      <c r="G136" s="18"/>
      <c r="H136" s="18"/>
      <c r="I136" s="18"/>
      <c r="J136" s="18"/>
      <c r="K136" s="18"/>
      <c r="L136" s="18"/>
      <c r="M136" s="18"/>
      <c r="N136" s="18"/>
      <c r="O136" s="18"/>
      <c r="P136" s="18"/>
      <c r="Q136" s="18"/>
      <c r="R136" s="18"/>
      <c r="S136" s="18"/>
      <c r="T136" s="18"/>
      <c r="U136" s="18"/>
      <c r="V136" s="18"/>
      <c r="W136" s="18"/>
      <c r="X136" s="18"/>
      <c r="Y136" s="18"/>
      <c r="Z136" s="18"/>
    </row>
    <row r="137" ht="22.5" customHeight="1">
      <c r="A137" s="28" t="s">
        <v>272</v>
      </c>
      <c r="B137" s="29" t="s">
        <v>36</v>
      </c>
      <c r="C137" s="31">
        <v>3.0</v>
      </c>
      <c r="D137" s="32">
        <v>0.0</v>
      </c>
      <c r="E137" s="43"/>
      <c r="F137" s="18"/>
      <c r="G137" s="18"/>
      <c r="H137" s="18"/>
      <c r="I137" s="18"/>
      <c r="J137" s="18"/>
      <c r="K137" s="18"/>
      <c r="L137" s="18"/>
      <c r="M137" s="18"/>
      <c r="N137" s="18"/>
      <c r="O137" s="18"/>
      <c r="P137" s="18"/>
      <c r="Q137" s="18"/>
      <c r="R137" s="18"/>
      <c r="S137" s="18"/>
      <c r="T137" s="18"/>
      <c r="U137" s="18"/>
      <c r="V137" s="18"/>
      <c r="W137" s="18"/>
      <c r="X137" s="18"/>
      <c r="Y137" s="18"/>
      <c r="Z137" s="18"/>
    </row>
    <row r="138" ht="22.5" customHeight="1">
      <c r="A138" s="22" t="s">
        <v>274</v>
      </c>
      <c r="B138" s="23" t="s">
        <v>36</v>
      </c>
      <c r="C138" s="24">
        <v>3.0</v>
      </c>
      <c r="D138" s="25">
        <v>0.0</v>
      </c>
      <c r="E138" s="45"/>
      <c r="F138" s="18"/>
      <c r="G138" s="18"/>
      <c r="H138" s="18"/>
      <c r="I138" s="18"/>
      <c r="J138" s="18"/>
      <c r="K138" s="18"/>
      <c r="L138" s="18"/>
      <c r="M138" s="18"/>
      <c r="N138" s="18"/>
      <c r="O138" s="18"/>
      <c r="P138" s="18"/>
      <c r="Q138" s="18"/>
      <c r="R138" s="18"/>
      <c r="S138" s="18"/>
      <c r="T138" s="18"/>
      <c r="U138" s="18"/>
      <c r="V138" s="18"/>
      <c r="W138" s="18"/>
      <c r="X138" s="18"/>
      <c r="Y138" s="18"/>
      <c r="Z138" s="18"/>
    </row>
    <row r="139" ht="22.5" customHeight="1">
      <c r="A139" s="28" t="s">
        <v>277</v>
      </c>
      <c r="B139" s="29" t="s">
        <v>36</v>
      </c>
      <c r="C139" s="31">
        <v>3.0</v>
      </c>
      <c r="D139" s="32">
        <v>0.0</v>
      </c>
      <c r="E139" s="43"/>
      <c r="F139" s="18"/>
      <c r="G139" s="18"/>
      <c r="H139" s="18"/>
      <c r="I139" s="18"/>
      <c r="J139" s="18"/>
      <c r="K139" s="18"/>
      <c r="L139" s="18"/>
      <c r="M139" s="18"/>
      <c r="N139" s="18"/>
      <c r="O139" s="18"/>
      <c r="P139" s="18"/>
      <c r="Q139" s="18"/>
      <c r="R139" s="18"/>
      <c r="S139" s="18"/>
      <c r="T139" s="18"/>
      <c r="U139" s="18"/>
      <c r="V139" s="18"/>
      <c r="W139" s="18"/>
      <c r="X139" s="18"/>
      <c r="Y139" s="18"/>
      <c r="Z139" s="18"/>
    </row>
    <row r="140" ht="22.5" customHeight="1">
      <c r="A140" s="22" t="s">
        <v>278</v>
      </c>
      <c r="B140" s="23" t="s">
        <v>36</v>
      </c>
      <c r="C140" s="24">
        <v>3.0</v>
      </c>
      <c r="D140" s="25">
        <v>0.0</v>
      </c>
      <c r="E140" s="45"/>
      <c r="F140" s="18"/>
      <c r="G140" s="18"/>
      <c r="H140" s="18"/>
      <c r="I140" s="18"/>
      <c r="J140" s="18"/>
      <c r="K140" s="18"/>
      <c r="L140" s="18"/>
      <c r="M140" s="18"/>
      <c r="N140" s="18"/>
      <c r="O140" s="18"/>
      <c r="P140" s="18"/>
      <c r="Q140" s="18"/>
      <c r="R140" s="18"/>
      <c r="S140" s="18"/>
      <c r="T140" s="18"/>
      <c r="U140" s="18"/>
      <c r="V140" s="18"/>
      <c r="W140" s="18"/>
      <c r="X140" s="18"/>
      <c r="Y140" s="18"/>
      <c r="Z140" s="18"/>
    </row>
    <row r="141" ht="22.5" customHeight="1">
      <c r="A141" s="28" t="s">
        <v>279</v>
      </c>
      <c r="B141" s="29" t="s">
        <v>36</v>
      </c>
      <c r="C141" s="31">
        <v>3.0</v>
      </c>
      <c r="D141" s="32">
        <v>0.0</v>
      </c>
      <c r="E141" s="43"/>
      <c r="F141" s="18"/>
      <c r="G141" s="18"/>
      <c r="H141" s="18"/>
      <c r="I141" s="18"/>
      <c r="J141" s="18"/>
      <c r="K141" s="18"/>
      <c r="L141" s="18"/>
      <c r="M141" s="18"/>
      <c r="N141" s="18"/>
      <c r="O141" s="18"/>
      <c r="P141" s="18"/>
      <c r="Q141" s="18"/>
      <c r="R141" s="18"/>
      <c r="S141" s="18"/>
      <c r="T141" s="18"/>
      <c r="U141" s="18"/>
      <c r="V141" s="18"/>
      <c r="W141" s="18"/>
      <c r="X141" s="18"/>
      <c r="Y141" s="18"/>
      <c r="Z141" s="18"/>
    </row>
    <row r="142" ht="22.5" customHeight="1">
      <c r="A142" s="22" t="s">
        <v>280</v>
      </c>
      <c r="B142" s="23" t="s">
        <v>36</v>
      </c>
      <c r="C142" s="24">
        <v>3.0</v>
      </c>
      <c r="D142" s="25">
        <v>0.0</v>
      </c>
      <c r="E142" s="45"/>
      <c r="F142" s="18"/>
      <c r="G142" s="18"/>
      <c r="H142" s="18"/>
      <c r="I142" s="18"/>
      <c r="J142" s="18"/>
      <c r="K142" s="18"/>
      <c r="L142" s="18"/>
      <c r="M142" s="18"/>
      <c r="N142" s="18"/>
      <c r="O142" s="18"/>
      <c r="P142" s="18"/>
      <c r="Q142" s="18"/>
      <c r="R142" s="18"/>
      <c r="S142" s="18"/>
      <c r="T142" s="18"/>
      <c r="U142" s="18"/>
      <c r="V142" s="18"/>
      <c r="W142" s="18"/>
      <c r="X142" s="18"/>
      <c r="Y142" s="18"/>
      <c r="Z142" s="18"/>
    </row>
    <row r="143" ht="22.5" customHeight="1">
      <c r="A143" s="28" t="s">
        <v>282</v>
      </c>
      <c r="B143" s="29" t="s">
        <v>36</v>
      </c>
      <c r="C143" s="31">
        <v>3.0</v>
      </c>
      <c r="D143" s="32">
        <v>0.0</v>
      </c>
      <c r="E143" s="43"/>
      <c r="F143" s="18"/>
      <c r="G143" s="18"/>
      <c r="H143" s="18"/>
      <c r="I143" s="18"/>
      <c r="J143" s="18"/>
      <c r="K143" s="18"/>
      <c r="L143" s="18"/>
      <c r="M143" s="18"/>
      <c r="N143" s="18"/>
      <c r="O143" s="18"/>
      <c r="P143" s="18"/>
      <c r="Q143" s="18"/>
      <c r="R143" s="18"/>
      <c r="S143" s="18"/>
      <c r="T143" s="18"/>
      <c r="U143" s="18"/>
      <c r="V143" s="18"/>
      <c r="W143" s="18"/>
      <c r="X143" s="18"/>
      <c r="Y143" s="18"/>
      <c r="Z143" s="18"/>
    </row>
    <row r="144" ht="22.5" customHeight="1">
      <c r="A144" s="22" t="s">
        <v>285</v>
      </c>
      <c r="B144" s="23" t="s">
        <v>36</v>
      </c>
      <c r="C144" s="24">
        <v>3.0</v>
      </c>
      <c r="D144" s="25">
        <v>0.0</v>
      </c>
      <c r="E144" s="45"/>
      <c r="F144" s="18"/>
      <c r="G144" s="18"/>
      <c r="H144" s="18"/>
      <c r="I144" s="18"/>
      <c r="J144" s="18"/>
      <c r="K144" s="18"/>
      <c r="L144" s="18"/>
      <c r="M144" s="18"/>
      <c r="N144" s="18"/>
      <c r="O144" s="18"/>
      <c r="P144" s="18"/>
      <c r="Q144" s="18"/>
      <c r="R144" s="18"/>
      <c r="S144" s="18"/>
      <c r="T144" s="18"/>
      <c r="U144" s="18"/>
      <c r="V144" s="18"/>
      <c r="W144" s="18"/>
      <c r="X144" s="18"/>
      <c r="Y144" s="18"/>
      <c r="Z144" s="18"/>
    </row>
    <row r="145" ht="22.5" customHeight="1">
      <c r="A145" s="28" t="s">
        <v>286</v>
      </c>
      <c r="B145" s="29" t="s">
        <v>36</v>
      </c>
      <c r="C145" s="31">
        <v>3.0</v>
      </c>
      <c r="D145" s="32">
        <v>0.0</v>
      </c>
      <c r="E145" s="43"/>
      <c r="F145" s="18"/>
      <c r="G145" s="18"/>
      <c r="H145" s="18"/>
      <c r="I145" s="18"/>
      <c r="J145" s="18"/>
      <c r="K145" s="18"/>
      <c r="L145" s="18"/>
      <c r="M145" s="18"/>
      <c r="N145" s="18"/>
      <c r="O145" s="18"/>
      <c r="P145" s="18"/>
      <c r="Q145" s="18"/>
      <c r="R145" s="18"/>
      <c r="S145" s="18"/>
      <c r="T145" s="18"/>
      <c r="U145" s="18"/>
      <c r="V145" s="18"/>
      <c r="W145" s="18"/>
      <c r="X145" s="18"/>
      <c r="Y145" s="18"/>
      <c r="Z145" s="18"/>
    </row>
    <row r="146" ht="22.5" customHeight="1">
      <c r="A146" s="22" t="s">
        <v>287</v>
      </c>
      <c r="B146" s="23" t="s">
        <v>36</v>
      </c>
      <c r="C146" s="24">
        <v>3.0</v>
      </c>
      <c r="D146" s="25">
        <v>0.0</v>
      </c>
      <c r="E146" s="45"/>
      <c r="F146" s="18"/>
      <c r="G146" s="18"/>
      <c r="H146" s="18"/>
      <c r="I146" s="18"/>
      <c r="J146" s="18"/>
      <c r="K146" s="18"/>
      <c r="L146" s="18"/>
      <c r="M146" s="18"/>
      <c r="N146" s="18"/>
      <c r="O146" s="18"/>
      <c r="P146" s="18"/>
      <c r="Q146" s="18"/>
      <c r="R146" s="18"/>
      <c r="S146" s="18"/>
      <c r="T146" s="18"/>
      <c r="U146" s="18"/>
      <c r="V146" s="18"/>
      <c r="W146" s="18"/>
      <c r="X146" s="18"/>
      <c r="Y146" s="18"/>
      <c r="Z146" s="18"/>
    </row>
    <row r="147" ht="22.5" customHeight="1">
      <c r="A147" s="28" t="s">
        <v>288</v>
      </c>
      <c r="B147" s="29" t="s">
        <v>36</v>
      </c>
      <c r="C147" s="31">
        <v>3.0</v>
      </c>
      <c r="D147" s="32">
        <v>0.0</v>
      </c>
      <c r="E147" s="43"/>
      <c r="F147" s="18"/>
      <c r="G147" s="18"/>
      <c r="H147" s="18"/>
      <c r="I147" s="18"/>
      <c r="J147" s="18"/>
      <c r="K147" s="18"/>
      <c r="L147" s="18"/>
      <c r="M147" s="18"/>
      <c r="N147" s="18"/>
      <c r="O147" s="18"/>
      <c r="P147" s="18"/>
      <c r="Q147" s="18"/>
      <c r="R147" s="18"/>
      <c r="S147" s="18"/>
      <c r="T147" s="18"/>
      <c r="U147" s="18"/>
      <c r="V147" s="18"/>
      <c r="W147" s="18"/>
      <c r="X147" s="18"/>
      <c r="Y147" s="18"/>
      <c r="Z147" s="18"/>
    </row>
    <row r="148" ht="22.5" customHeight="1">
      <c r="A148" s="22" t="s">
        <v>290</v>
      </c>
      <c r="B148" s="23" t="s">
        <v>36</v>
      </c>
      <c r="C148" s="24">
        <v>3.0</v>
      </c>
      <c r="D148" s="25">
        <v>0.0</v>
      </c>
      <c r="E148" s="45"/>
      <c r="F148" s="18"/>
      <c r="G148" s="18"/>
      <c r="H148" s="18"/>
      <c r="I148" s="18"/>
      <c r="J148" s="18"/>
      <c r="K148" s="18"/>
      <c r="L148" s="18"/>
      <c r="M148" s="18"/>
      <c r="N148" s="18"/>
      <c r="O148" s="18"/>
      <c r="P148" s="18"/>
      <c r="Q148" s="18"/>
      <c r="R148" s="18"/>
      <c r="S148" s="18"/>
      <c r="T148" s="18"/>
      <c r="U148" s="18"/>
      <c r="V148" s="18"/>
      <c r="W148" s="18"/>
      <c r="X148" s="18"/>
      <c r="Y148" s="18"/>
      <c r="Z148" s="18"/>
    </row>
    <row r="149" ht="22.5" customHeight="1">
      <c r="A149" s="28" t="s">
        <v>292</v>
      </c>
      <c r="B149" s="29" t="s">
        <v>36</v>
      </c>
      <c r="C149" s="31">
        <v>3.0</v>
      </c>
      <c r="D149" s="32">
        <v>0.0</v>
      </c>
      <c r="E149" s="43"/>
      <c r="F149" s="18"/>
      <c r="G149" s="18"/>
      <c r="H149" s="18"/>
      <c r="I149" s="18"/>
      <c r="J149" s="18"/>
      <c r="K149" s="18"/>
      <c r="L149" s="18"/>
      <c r="M149" s="18"/>
      <c r="N149" s="18"/>
      <c r="O149" s="18"/>
      <c r="P149" s="18"/>
      <c r="Q149" s="18"/>
      <c r="R149" s="18"/>
      <c r="S149" s="18"/>
      <c r="T149" s="18"/>
      <c r="U149" s="18"/>
      <c r="V149" s="18"/>
      <c r="W149" s="18"/>
      <c r="X149" s="18"/>
      <c r="Y149" s="18"/>
      <c r="Z149" s="18"/>
    </row>
    <row r="150" ht="22.5" customHeight="1">
      <c r="A150" s="22" t="s">
        <v>294</v>
      </c>
      <c r="B150" s="23" t="s">
        <v>36</v>
      </c>
      <c r="C150" s="24">
        <v>3.0</v>
      </c>
      <c r="D150" s="25">
        <v>0.0</v>
      </c>
      <c r="E150" s="45"/>
      <c r="F150" s="18"/>
      <c r="G150" s="18"/>
      <c r="H150" s="18"/>
      <c r="I150" s="18"/>
      <c r="J150" s="18"/>
      <c r="K150" s="18"/>
      <c r="L150" s="18"/>
      <c r="M150" s="18"/>
      <c r="N150" s="18"/>
      <c r="O150" s="18"/>
      <c r="P150" s="18"/>
      <c r="Q150" s="18"/>
      <c r="R150" s="18"/>
      <c r="S150" s="18"/>
      <c r="T150" s="18"/>
      <c r="U150" s="18"/>
      <c r="V150" s="18"/>
      <c r="W150" s="18"/>
      <c r="X150" s="18"/>
      <c r="Y150" s="18"/>
      <c r="Z150" s="18"/>
    </row>
    <row r="151" ht="22.5" customHeight="1">
      <c r="A151" s="28" t="s">
        <v>295</v>
      </c>
      <c r="B151" s="29" t="s">
        <v>36</v>
      </c>
      <c r="C151" s="31">
        <v>3.0</v>
      </c>
      <c r="D151" s="32">
        <v>0.0</v>
      </c>
      <c r="E151" s="43"/>
      <c r="F151" s="18"/>
      <c r="G151" s="18"/>
      <c r="H151" s="18"/>
      <c r="I151" s="18"/>
      <c r="J151" s="18"/>
      <c r="K151" s="18"/>
      <c r="L151" s="18"/>
      <c r="M151" s="18"/>
      <c r="N151" s="18"/>
      <c r="O151" s="18"/>
      <c r="P151" s="18"/>
      <c r="Q151" s="18"/>
      <c r="R151" s="18"/>
      <c r="S151" s="18"/>
      <c r="T151" s="18"/>
      <c r="U151" s="18"/>
      <c r="V151" s="18"/>
      <c r="W151" s="18"/>
      <c r="X151" s="18"/>
      <c r="Y151" s="18"/>
      <c r="Z151" s="18"/>
    </row>
    <row r="152" ht="22.5" customHeight="1">
      <c r="A152" s="22" t="s">
        <v>296</v>
      </c>
      <c r="B152" s="23" t="s">
        <v>36</v>
      </c>
      <c r="C152" s="24">
        <v>3.0</v>
      </c>
      <c r="D152" s="25">
        <v>0.0</v>
      </c>
      <c r="E152" s="45"/>
      <c r="F152" s="18"/>
      <c r="G152" s="18"/>
      <c r="H152" s="18"/>
      <c r="I152" s="18"/>
      <c r="J152" s="18"/>
      <c r="K152" s="18"/>
      <c r="L152" s="18"/>
      <c r="M152" s="18"/>
      <c r="N152" s="18"/>
      <c r="O152" s="18"/>
      <c r="P152" s="18"/>
      <c r="Q152" s="18"/>
      <c r="R152" s="18"/>
      <c r="S152" s="18"/>
      <c r="T152" s="18"/>
      <c r="U152" s="18"/>
      <c r="V152" s="18"/>
      <c r="W152" s="18"/>
      <c r="X152" s="18"/>
      <c r="Y152" s="18"/>
      <c r="Z152" s="18"/>
    </row>
    <row r="153" ht="22.5" customHeight="1">
      <c r="A153" s="28" t="s">
        <v>297</v>
      </c>
      <c r="B153" s="29" t="s">
        <v>36</v>
      </c>
      <c r="C153" s="31">
        <v>3.0</v>
      </c>
      <c r="D153" s="32">
        <v>0.0</v>
      </c>
      <c r="E153" s="43"/>
      <c r="F153" s="18"/>
      <c r="G153" s="18"/>
      <c r="H153" s="18"/>
      <c r="I153" s="18"/>
      <c r="J153" s="18"/>
      <c r="K153" s="18"/>
      <c r="L153" s="18"/>
      <c r="M153" s="18"/>
      <c r="N153" s="18"/>
      <c r="O153" s="18"/>
      <c r="P153" s="18"/>
      <c r="Q153" s="18"/>
      <c r="R153" s="18"/>
      <c r="S153" s="18"/>
      <c r="T153" s="18"/>
      <c r="U153" s="18"/>
      <c r="V153" s="18"/>
      <c r="W153" s="18"/>
      <c r="X153" s="18"/>
      <c r="Y153" s="18"/>
      <c r="Z153" s="18"/>
    </row>
    <row r="154" ht="22.5" customHeight="1">
      <c r="A154" s="22" t="s">
        <v>299</v>
      </c>
      <c r="B154" s="23" t="s">
        <v>36</v>
      </c>
      <c r="C154" s="24">
        <v>3.0</v>
      </c>
      <c r="D154" s="25">
        <v>0.0</v>
      </c>
      <c r="E154" s="45"/>
      <c r="F154" s="18"/>
      <c r="G154" s="18"/>
      <c r="H154" s="18"/>
      <c r="I154" s="18"/>
      <c r="J154" s="18"/>
      <c r="K154" s="18"/>
      <c r="L154" s="18"/>
      <c r="M154" s="18"/>
      <c r="N154" s="18"/>
      <c r="O154" s="18"/>
      <c r="P154" s="18"/>
      <c r="Q154" s="18"/>
      <c r="R154" s="18"/>
      <c r="S154" s="18"/>
      <c r="T154" s="18"/>
      <c r="U154" s="18"/>
      <c r="V154" s="18"/>
      <c r="W154" s="18"/>
      <c r="X154" s="18"/>
      <c r="Y154" s="18"/>
      <c r="Z154" s="18"/>
    </row>
    <row r="155" ht="22.5" customHeight="1">
      <c r="A155" s="28" t="s">
        <v>301</v>
      </c>
      <c r="B155" s="29" t="s">
        <v>36</v>
      </c>
      <c r="C155" s="31">
        <v>3.0</v>
      </c>
      <c r="D155" s="32">
        <v>0.0</v>
      </c>
      <c r="E155" s="43"/>
      <c r="F155" s="18"/>
      <c r="G155" s="18"/>
      <c r="H155" s="18"/>
      <c r="I155" s="18"/>
      <c r="J155" s="18"/>
      <c r="K155" s="18"/>
      <c r="L155" s="18"/>
      <c r="M155" s="18"/>
      <c r="N155" s="18"/>
      <c r="O155" s="18"/>
      <c r="P155" s="18"/>
      <c r="Q155" s="18"/>
      <c r="R155" s="18"/>
      <c r="S155" s="18"/>
      <c r="T155" s="18"/>
      <c r="U155" s="18"/>
      <c r="V155" s="18"/>
      <c r="W155" s="18"/>
      <c r="X155" s="18"/>
      <c r="Y155" s="18"/>
      <c r="Z155" s="18"/>
    </row>
    <row r="156" ht="22.5" customHeight="1">
      <c r="A156" s="22" t="s">
        <v>302</v>
      </c>
      <c r="B156" s="23" t="s">
        <v>36</v>
      </c>
      <c r="C156" s="24">
        <v>3.0</v>
      </c>
      <c r="D156" s="25">
        <v>0.0</v>
      </c>
      <c r="E156" s="45"/>
      <c r="F156" s="18"/>
      <c r="G156" s="18"/>
      <c r="H156" s="18"/>
      <c r="I156" s="18"/>
      <c r="J156" s="18"/>
      <c r="K156" s="18"/>
      <c r="L156" s="18"/>
      <c r="M156" s="18"/>
      <c r="N156" s="18"/>
      <c r="O156" s="18"/>
      <c r="P156" s="18"/>
      <c r="Q156" s="18"/>
      <c r="R156" s="18"/>
      <c r="S156" s="18"/>
      <c r="T156" s="18"/>
      <c r="U156" s="18"/>
      <c r="V156" s="18"/>
      <c r="W156" s="18"/>
      <c r="X156" s="18"/>
      <c r="Y156" s="18"/>
      <c r="Z156" s="18"/>
    </row>
    <row r="157" ht="22.5" customHeight="1">
      <c r="A157" s="28" t="s">
        <v>303</v>
      </c>
      <c r="B157" s="29" t="s">
        <v>36</v>
      </c>
      <c r="C157" s="31">
        <v>3.0</v>
      </c>
      <c r="D157" s="32">
        <v>0.0</v>
      </c>
      <c r="E157" s="43"/>
      <c r="F157" s="18"/>
      <c r="G157" s="18"/>
      <c r="H157" s="18"/>
      <c r="I157" s="18"/>
      <c r="J157" s="18"/>
      <c r="K157" s="18"/>
      <c r="L157" s="18"/>
      <c r="M157" s="18"/>
      <c r="N157" s="18"/>
      <c r="O157" s="18"/>
      <c r="P157" s="18"/>
      <c r="Q157" s="18"/>
      <c r="R157" s="18"/>
      <c r="S157" s="18"/>
      <c r="T157" s="18"/>
      <c r="U157" s="18"/>
      <c r="V157" s="18"/>
      <c r="W157" s="18"/>
      <c r="X157" s="18"/>
      <c r="Y157" s="18"/>
      <c r="Z157" s="18"/>
    </row>
    <row r="158" ht="22.5" customHeight="1">
      <c r="A158" s="22" t="s">
        <v>304</v>
      </c>
      <c r="B158" s="23" t="s">
        <v>36</v>
      </c>
      <c r="C158" s="24">
        <v>3.0</v>
      </c>
      <c r="D158" s="25">
        <v>0.0</v>
      </c>
      <c r="E158" s="45"/>
      <c r="F158" s="18"/>
      <c r="G158" s="18"/>
      <c r="H158" s="18"/>
      <c r="I158" s="18"/>
      <c r="J158" s="18"/>
      <c r="K158" s="18"/>
      <c r="L158" s="18"/>
      <c r="M158" s="18"/>
      <c r="N158" s="18"/>
      <c r="O158" s="18"/>
      <c r="P158" s="18"/>
      <c r="Q158" s="18"/>
      <c r="R158" s="18"/>
      <c r="S158" s="18"/>
      <c r="T158" s="18"/>
      <c r="U158" s="18"/>
      <c r="V158" s="18"/>
      <c r="W158" s="18"/>
      <c r="X158" s="18"/>
      <c r="Y158" s="18"/>
      <c r="Z158" s="18"/>
    </row>
    <row r="159" ht="22.5" customHeight="1">
      <c r="A159" s="28" t="s">
        <v>306</v>
      </c>
      <c r="B159" s="29" t="s">
        <v>36</v>
      </c>
      <c r="C159" s="31">
        <v>3.0</v>
      </c>
      <c r="D159" s="32">
        <v>0.0</v>
      </c>
      <c r="E159" s="43"/>
      <c r="F159" s="18"/>
      <c r="G159" s="18"/>
      <c r="H159" s="18"/>
      <c r="I159" s="18"/>
      <c r="J159" s="18"/>
      <c r="K159" s="18"/>
      <c r="L159" s="18"/>
      <c r="M159" s="18"/>
      <c r="N159" s="18"/>
      <c r="O159" s="18"/>
      <c r="P159" s="18"/>
      <c r="Q159" s="18"/>
      <c r="R159" s="18"/>
      <c r="S159" s="18"/>
      <c r="T159" s="18"/>
      <c r="U159" s="18"/>
      <c r="V159" s="18"/>
      <c r="W159" s="18"/>
      <c r="X159" s="18"/>
      <c r="Y159" s="18"/>
      <c r="Z159" s="18"/>
    </row>
    <row r="160" ht="22.5" customHeight="1">
      <c r="A160" s="22" t="s">
        <v>309</v>
      </c>
      <c r="B160" s="23" t="s">
        <v>36</v>
      </c>
      <c r="C160" s="24">
        <v>3.0</v>
      </c>
      <c r="D160" s="25">
        <v>0.0</v>
      </c>
      <c r="E160" s="45"/>
      <c r="F160" s="18"/>
      <c r="G160" s="18"/>
      <c r="H160" s="18"/>
      <c r="I160" s="18"/>
      <c r="J160" s="18"/>
      <c r="K160" s="18"/>
      <c r="L160" s="18"/>
      <c r="M160" s="18"/>
      <c r="N160" s="18"/>
      <c r="O160" s="18"/>
      <c r="P160" s="18"/>
      <c r="Q160" s="18"/>
      <c r="R160" s="18"/>
      <c r="S160" s="18"/>
      <c r="T160" s="18"/>
      <c r="U160" s="18"/>
      <c r="V160" s="18"/>
      <c r="W160" s="18"/>
      <c r="X160" s="18"/>
      <c r="Y160" s="18"/>
      <c r="Z160" s="18"/>
    </row>
    <row r="161" ht="22.5" customHeight="1">
      <c r="A161" s="28" t="s">
        <v>310</v>
      </c>
      <c r="B161" s="29" t="s">
        <v>36</v>
      </c>
      <c r="C161" s="31">
        <v>3.0</v>
      </c>
      <c r="D161" s="32">
        <v>0.0</v>
      </c>
      <c r="E161" s="43"/>
      <c r="F161" s="18"/>
      <c r="G161" s="18"/>
      <c r="H161" s="18"/>
      <c r="I161" s="18"/>
      <c r="J161" s="18"/>
      <c r="K161" s="18"/>
      <c r="L161" s="18"/>
      <c r="M161" s="18"/>
      <c r="N161" s="18"/>
      <c r="O161" s="18"/>
      <c r="P161" s="18"/>
      <c r="Q161" s="18"/>
      <c r="R161" s="18"/>
      <c r="S161" s="18"/>
      <c r="T161" s="18"/>
      <c r="U161" s="18"/>
      <c r="V161" s="18"/>
      <c r="W161" s="18"/>
      <c r="X161" s="18"/>
      <c r="Y161" s="18"/>
      <c r="Z161" s="18"/>
    </row>
    <row r="162" ht="22.5" customHeight="1">
      <c r="A162" s="22" t="s">
        <v>311</v>
      </c>
      <c r="B162" s="23" t="s">
        <v>36</v>
      </c>
      <c r="C162" s="24">
        <v>3.0</v>
      </c>
      <c r="D162" s="25">
        <v>0.0</v>
      </c>
      <c r="E162" s="45"/>
      <c r="F162" s="18"/>
      <c r="G162" s="18"/>
      <c r="H162" s="18"/>
      <c r="I162" s="18"/>
      <c r="J162" s="18"/>
      <c r="K162" s="18"/>
      <c r="L162" s="18"/>
      <c r="M162" s="18"/>
      <c r="N162" s="18"/>
      <c r="O162" s="18"/>
      <c r="P162" s="18"/>
      <c r="Q162" s="18"/>
      <c r="R162" s="18"/>
      <c r="S162" s="18"/>
      <c r="T162" s="18"/>
      <c r="U162" s="18"/>
      <c r="V162" s="18"/>
      <c r="W162" s="18"/>
      <c r="X162" s="18"/>
      <c r="Y162" s="18"/>
      <c r="Z162" s="18"/>
    </row>
    <row r="163" ht="22.5" customHeight="1">
      <c r="A163" s="28" t="s">
        <v>312</v>
      </c>
      <c r="B163" s="29" t="s">
        <v>36</v>
      </c>
      <c r="C163" s="31">
        <v>3.0</v>
      </c>
      <c r="D163" s="32">
        <v>0.0</v>
      </c>
      <c r="E163" s="43"/>
      <c r="F163" s="18"/>
      <c r="G163" s="18"/>
      <c r="H163" s="18"/>
      <c r="I163" s="18"/>
      <c r="J163" s="18"/>
      <c r="K163" s="18"/>
      <c r="L163" s="18"/>
      <c r="M163" s="18"/>
      <c r="N163" s="18"/>
      <c r="O163" s="18"/>
      <c r="P163" s="18"/>
      <c r="Q163" s="18"/>
      <c r="R163" s="18"/>
      <c r="S163" s="18"/>
      <c r="T163" s="18"/>
      <c r="U163" s="18"/>
      <c r="V163" s="18"/>
      <c r="W163" s="18"/>
      <c r="X163" s="18"/>
      <c r="Y163" s="18"/>
      <c r="Z163" s="18"/>
    </row>
    <row r="164" ht="22.5" customHeight="1">
      <c r="A164" s="22" t="s">
        <v>313</v>
      </c>
      <c r="B164" s="23" t="s">
        <v>36</v>
      </c>
      <c r="C164" s="24">
        <v>3.0</v>
      </c>
      <c r="D164" s="25">
        <v>0.0</v>
      </c>
      <c r="E164" s="45"/>
      <c r="F164" s="18"/>
      <c r="G164" s="18"/>
      <c r="H164" s="18"/>
      <c r="I164" s="18"/>
      <c r="J164" s="18"/>
      <c r="K164" s="18"/>
      <c r="L164" s="18"/>
      <c r="M164" s="18"/>
      <c r="N164" s="18"/>
      <c r="O164" s="18"/>
      <c r="P164" s="18"/>
      <c r="Q164" s="18"/>
      <c r="R164" s="18"/>
      <c r="S164" s="18"/>
      <c r="T164" s="18"/>
      <c r="U164" s="18"/>
      <c r="V164" s="18"/>
      <c r="W164" s="18"/>
      <c r="X164" s="18"/>
      <c r="Y164" s="18"/>
      <c r="Z164" s="18"/>
    </row>
    <row r="165" ht="22.5" customHeight="1">
      <c r="A165" s="28" t="s">
        <v>317</v>
      </c>
      <c r="B165" s="29" t="s">
        <v>36</v>
      </c>
      <c r="C165" s="31">
        <v>3.0</v>
      </c>
      <c r="D165" s="32">
        <v>0.0</v>
      </c>
      <c r="E165" s="43"/>
      <c r="F165" s="18"/>
      <c r="G165" s="18"/>
      <c r="H165" s="18"/>
      <c r="I165" s="18"/>
      <c r="J165" s="18"/>
      <c r="K165" s="18"/>
      <c r="L165" s="18"/>
      <c r="M165" s="18"/>
      <c r="N165" s="18"/>
      <c r="O165" s="18"/>
      <c r="P165" s="18"/>
      <c r="Q165" s="18"/>
      <c r="R165" s="18"/>
      <c r="S165" s="18"/>
      <c r="T165" s="18"/>
      <c r="U165" s="18"/>
      <c r="V165" s="18"/>
      <c r="W165" s="18"/>
      <c r="X165" s="18"/>
      <c r="Y165" s="18"/>
      <c r="Z165" s="18"/>
    </row>
    <row r="166" ht="22.5" customHeight="1">
      <c r="A166" s="22" t="s">
        <v>319</v>
      </c>
      <c r="B166" s="23" t="s">
        <v>36</v>
      </c>
      <c r="C166" s="24">
        <v>3.0</v>
      </c>
      <c r="D166" s="25">
        <v>0.0</v>
      </c>
      <c r="E166" s="45"/>
      <c r="F166" s="18"/>
      <c r="G166" s="18"/>
      <c r="H166" s="18"/>
      <c r="I166" s="18"/>
      <c r="J166" s="18"/>
      <c r="K166" s="18"/>
      <c r="L166" s="18"/>
      <c r="M166" s="18"/>
      <c r="N166" s="18"/>
      <c r="O166" s="18"/>
      <c r="P166" s="18"/>
      <c r="Q166" s="18"/>
      <c r="R166" s="18"/>
      <c r="S166" s="18"/>
      <c r="T166" s="18"/>
      <c r="U166" s="18"/>
      <c r="V166" s="18"/>
      <c r="W166" s="18"/>
      <c r="X166" s="18"/>
      <c r="Y166" s="18"/>
      <c r="Z166" s="18"/>
    </row>
    <row r="167" ht="22.5" customHeight="1">
      <c r="A167" s="28" t="s">
        <v>320</v>
      </c>
      <c r="B167" s="29" t="s">
        <v>36</v>
      </c>
      <c r="C167" s="31">
        <v>3.0</v>
      </c>
      <c r="D167" s="32">
        <v>0.0</v>
      </c>
      <c r="E167" s="43"/>
      <c r="F167" s="18"/>
      <c r="G167" s="18"/>
      <c r="H167" s="18"/>
      <c r="I167" s="18"/>
      <c r="J167" s="18"/>
      <c r="K167" s="18"/>
      <c r="L167" s="18"/>
      <c r="M167" s="18"/>
      <c r="N167" s="18"/>
      <c r="O167" s="18"/>
      <c r="P167" s="18"/>
      <c r="Q167" s="18"/>
      <c r="R167" s="18"/>
      <c r="S167" s="18"/>
      <c r="T167" s="18"/>
      <c r="U167" s="18"/>
      <c r="V167" s="18"/>
      <c r="W167" s="18"/>
      <c r="X167" s="18"/>
      <c r="Y167" s="18"/>
      <c r="Z167" s="18"/>
    </row>
    <row r="168" ht="22.5" customHeight="1">
      <c r="A168" s="22" t="s">
        <v>321</v>
      </c>
      <c r="B168" s="23" t="s">
        <v>36</v>
      </c>
      <c r="C168" s="24">
        <v>3.0</v>
      </c>
      <c r="D168" s="25">
        <v>0.0</v>
      </c>
      <c r="E168" s="45"/>
      <c r="F168" s="18"/>
      <c r="G168" s="18"/>
      <c r="H168" s="18"/>
      <c r="I168" s="18"/>
      <c r="J168" s="18"/>
      <c r="K168" s="18"/>
      <c r="L168" s="18"/>
      <c r="M168" s="18"/>
      <c r="N168" s="18"/>
      <c r="O168" s="18"/>
      <c r="P168" s="18"/>
      <c r="Q168" s="18"/>
      <c r="R168" s="18"/>
      <c r="S168" s="18"/>
      <c r="T168" s="18"/>
      <c r="U168" s="18"/>
      <c r="V168" s="18"/>
      <c r="W168" s="18"/>
      <c r="X168" s="18"/>
      <c r="Y168" s="18"/>
      <c r="Z168" s="18"/>
    </row>
    <row r="169" ht="22.5" customHeight="1">
      <c r="A169" s="28" t="s">
        <v>322</v>
      </c>
      <c r="B169" s="29" t="s">
        <v>36</v>
      </c>
      <c r="C169" s="31">
        <v>3.0</v>
      </c>
      <c r="D169" s="32">
        <v>0.0</v>
      </c>
      <c r="E169" s="43"/>
      <c r="F169" s="18"/>
      <c r="G169" s="18"/>
      <c r="H169" s="18"/>
      <c r="I169" s="18"/>
      <c r="J169" s="18"/>
      <c r="K169" s="18"/>
      <c r="L169" s="18"/>
      <c r="M169" s="18"/>
      <c r="N169" s="18"/>
      <c r="O169" s="18"/>
      <c r="P169" s="18"/>
      <c r="Q169" s="18"/>
      <c r="R169" s="18"/>
      <c r="S169" s="18"/>
      <c r="T169" s="18"/>
      <c r="U169" s="18"/>
      <c r="V169" s="18"/>
      <c r="W169" s="18"/>
      <c r="X169" s="18"/>
      <c r="Y169" s="18"/>
      <c r="Z169" s="18"/>
    </row>
    <row r="170" ht="22.5" customHeight="1">
      <c r="A170" s="22" t="s">
        <v>326</v>
      </c>
      <c r="B170" s="23" t="s">
        <v>36</v>
      </c>
      <c r="C170" s="24">
        <v>3.0</v>
      </c>
      <c r="D170" s="25">
        <v>0.0</v>
      </c>
      <c r="E170" s="45"/>
      <c r="F170" s="18"/>
      <c r="G170" s="18"/>
      <c r="H170" s="18"/>
      <c r="I170" s="18"/>
      <c r="J170" s="18"/>
      <c r="K170" s="18"/>
      <c r="L170" s="18"/>
      <c r="M170" s="18"/>
      <c r="N170" s="18"/>
      <c r="O170" s="18"/>
      <c r="P170" s="18"/>
      <c r="Q170" s="18"/>
      <c r="R170" s="18"/>
      <c r="S170" s="18"/>
      <c r="T170" s="18"/>
      <c r="U170" s="18"/>
      <c r="V170" s="18"/>
      <c r="W170" s="18"/>
      <c r="X170" s="18"/>
      <c r="Y170" s="18"/>
      <c r="Z170" s="18"/>
    </row>
    <row r="171" ht="22.5" customHeight="1">
      <c r="A171" s="28" t="s">
        <v>327</v>
      </c>
      <c r="B171" s="29" t="s">
        <v>36</v>
      </c>
      <c r="C171" s="31">
        <v>3.0</v>
      </c>
      <c r="D171" s="32">
        <v>0.0</v>
      </c>
      <c r="E171" s="43"/>
      <c r="F171" s="18"/>
      <c r="G171" s="18"/>
      <c r="H171" s="18"/>
      <c r="I171" s="18"/>
      <c r="J171" s="18"/>
      <c r="K171" s="18"/>
      <c r="L171" s="18"/>
      <c r="M171" s="18"/>
      <c r="N171" s="18"/>
      <c r="O171" s="18"/>
      <c r="P171" s="18"/>
      <c r="Q171" s="18"/>
      <c r="R171" s="18"/>
      <c r="S171" s="18"/>
      <c r="T171" s="18"/>
      <c r="U171" s="18"/>
      <c r="V171" s="18"/>
      <c r="W171" s="18"/>
      <c r="X171" s="18"/>
      <c r="Y171" s="18"/>
      <c r="Z171" s="18"/>
    </row>
    <row r="172" ht="22.5" customHeight="1">
      <c r="A172" s="22" t="s">
        <v>328</v>
      </c>
      <c r="B172" s="23" t="s">
        <v>36</v>
      </c>
      <c r="C172" s="24">
        <v>3.0</v>
      </c>
      <c r="D172" s="25">
        <v>0.0</v>
      </c>
      <c r="E172" s="45"/>
      <c r="F172" s="18"/>
      <c r="G172" s="18"/>
      <c r="H172" s="18"/>
      <c r="I172" s="18"/>
      <c r="J172" s="18"/>
      <c r="K172" s="18"/>
      <c r="L172" s="18"/>
      <c r="M172" s="18"/>
      <c r="N172" s="18"/>
      <c r="O172" s="18"/>
      <c r="P172" s="18"/>
      <c r="Q172" s="18"/>
      <c r="R172" s="18"/>
      <c r="S172" s="18"/>
      <c r="T172" s="18"/>
      <c r="U172" s="18"/>
      <c r="V172" s="18"/>
      <c r="W172" s="18"/>
      <c r="X172" s="18"/>
      <c r="Y172" s="18"/>
      <c r="Z172" s="18"/>
    </row>
    <row r="173" ht="22.5" customHeight="1">
      <c r="A173" s="28" t="s">
        <v>329</v>
      </c>
      <c r="B173" s="29" t="s">
        <v>36</v>
      </c>
      <c r="C173" s="31">
        <v>3.0</v>
      </c>
      <c r="D173" s="32">
        <v>0.0</v>
      </c>
      <c r="E173" s="43"/>
      <c r="F173" s="18"/>
      <c r="G173" s="18"/>
      <c r="H173" s="18"/>
      <c r="I173" s="18"/>
      <c r="J173" s="18"/>
      <c r="K173" s="18"/>
      <c r="L173" s="18"/>
      <c r="M173" s="18"/>
      <c r="N173" s="18"/>
      <c r="O173" s="18"/>
      <c r="P173" s="18"/>
      <c r="Q173" s="18"/>
      <c r="R173" s="18"/>
      <c r="S173" s="18"/>
      <c r="T173" s="18"/>
      <c r="U173" s="18"/>
      <c r="V173" s="18"/>
      <c r="W173" s="18"/>
      <c r="X173" s="18"/>
      <c r="Y173" s="18"/>
      <c r="Z173" s="18"/>
    </row>
    <row r="174" ht="22.5" customHeight="1">
      <c r="A174" s="22" t="s">
        <v>330</v>
      </c>
      <c r="B174" s="23" t="s">
        <v>36</v>
      </c>
      <c r="C174" s="24">
        <v>3.0</v>
      </c>
      <c r="D174" s="25">
        <v>0.0</v>
      </c>
      <c r="E174" s="45"/>
      <c r="F174" s="18"/>
      <c r="G174" s="18"/>
      <c r="H174" s="18"/>
      <c r="I174" s="18"/>
      <c r="J174" s="18"/>
      <c r="K174" s="18"/>
      <c r="L174" s="18"/>
      <c r="M174" s="18"/>
      <c r="N174" s="18"/>
      <c r="O174" s="18"/>
      <c r="P174" s="18"/>
      <c r="Q174" s="18"/>
      <c r="R174" s="18"/>
      <c r="S174" s="18"/>
      <c r="T174" s="18"/>
      <c r="U174" s="18"/>
      <c r="V174" s="18"/>
      <c r="W174" s="18"/>
      <c r="X174" s="18"/>
      <c r="Y174" s="18"/>
      <c r="Z174" s="18"/>
    </row>
    <row r="175" ht="22.5" customHeight="1">
      <c r="A175" s="28" t="s">
        <v>333</v>
      </c>
      <c r="B175" s="29" t="s">
        <v>36</v>
      </c>
      <c r="C175" s="31">
        <v>3.0</v>
      </c>
      <c r="D175" s="32">
        <v>0.0</v>
      </c>
      <c r="E175" s="43"/>
      <c r="F175" s="18"/>
      <c r="G175" s="18"/>
      <c r="H175" s="18"/>
      <c r="I175" s="18"/>
      <c r="J175" s="18"/>
      <c r="K175" s="18"/>
      <c r="L175" s="18"/>
      <c r="M175" s="18"/>
      <c r="N175" s="18"/>
      <c r="O175" s="18"/>
      <c r="P175" s="18"/>
      <c r="Q175" s="18"/>
      <c r="R175" s="18"/>
      <c r="S175" s="18"/>
      <c r="T175" s="18"/>
      <c r="U175" s="18"/>
      <c r="V175" s="18"/>
      <c r="W175" s="18"/>
      <c r="X175" s="18"/>
      <c r="Y175" s="18"/>
      <c r="Z175" s="18"/>
    </row>
    <row r="176" ht="22.5" customHeight="1">
      <c r="A176" s="22" t="s">
        <v>336</v>
      </c>
      <c r="B176" s="23" t="s">
        <v>36</v>
      </c>
      <c r="C176" s="24">
        <v>3.0</v>
      </c>
      <c r="D176" s="25">
        <v>0.0</v>
      </c>
      <c r="E176" s="45"/>
      <c r="F176" s="18"/>
      <c r="G176" s="18"/>
      <c r="H176" s="18"/>
      <c r="I176" s="18"/>
      <c r="J176" s="18"/>
      <c r="K176" s="18"/>
      <c r="L176" s="18"/>
      <c r="M176" s="18"/>
      <c r="N176" s="18"/>
      <c r="O176" s="18"/>
      <c r="P176" s="18"/>
      <c r="Q176" s="18"/>
      <c r="R176" s="18"/>
      <c r="S176" s="18"/>
      <c r="T176" s="18"/>
      <c r="U176" s="18"/>
      <c r="V176" s="18"/>
      <c r="W176" s="18"/>
      <c r="X176" s="18"/>
      <c r="Y176" s="18"/>
      <c r="Z176" s="18"/>
    </row>
    <row r="177" ht="22.5" customHeight="1">
      <c r="A177" s="28" t="s">
        <v>337</v>
      </c>
      <c r="B177" s="29" t="s">
        <v>36</v>
      </c>
      <c r="C177" s="31">
        <v>3.0</v>
      </c>
      <c r="D177" s="32">
        <v>0.0</v>
      </c>
      <c r="E177" s="43"/>
      <c r="F177" s="18"/>
      <c r="G177" s="18"/>
      <c r="H177" s="18"/>
      <c r="I177" s="18"/>
      <c r="J177" s="18"/>
      <c r="K177" s="18"/>
      <c r="L177" s="18"/>
      <c r="M177" s="18"/>
      <c r="N177" s="18"/>
      <c r="O177" s="18"/>
      <c r="P177" s="18"/>
      <c r="Q177" s="18"/>
      <c r="R177" s="18"/>
      <c r="S177" s="18"/>
      <c r="T177" s="18"/>
      <c r="U177" s="18"/>
      <c r="V177" s="18"/>
      <c r="W177" s="18"/>
      <c r="X177" s="18"/>
      <c r="Y177" s="18"/>
      <c r="Z177" s="18"/>
    </row>
    <row r="178" ht="22.5" customHeight="1">
      <c r="A178" s="22" t="s">
        <v>338</v>
      </c>
      <c r="B178" s="23" t="s">
        <v>36</v>
      </c>
      <c r="C178" s="24">
        <v>3.0</v>
      </c>
      <c r="D178" s="25">
        <v>0.0</v>
      </c>
      <c r="E178" s="45"/>
      <c r="F178" s="18"/>
      <c r="G178" s="18"/>
      <c r="H178" s="18"/>
      <c r="I178" s="18"/>
      <c r="J178" s="18"/>
      <c r="K178" s="18"/>
      <c r="L178" s="18"/>
      <c r="M178" s="18"/>
      <c r="N178" s="18"/>
      <c r="O178" s="18"/>
      <c r="P178" s="18"/>
      <c r="Q178" s="18"/>
      <c r="R178" s="18"/>
      <c r="S178" s="18"/>
      <c r="T178" s="18"/>
      <c r="U178" s="18"/>
      <c r="V178" s="18"/>
      <c r="W178" s="18"/>
      <c r="X178" s="18"/>
      <c r="Y178" s="18"/>
      <c r="Z178" s="18"/>
    </row>
    <row r="179" ht="22.5" customHeight="1">
      <c r="A179" s="28" t="s">
        <v>342</v>
      </c>
      <c r="B179" s="29" t="s">
        <v>36</v>
      </c>
      <c r="C179" s="31">
        <v>3.0</v>
      </c>
      <c r="D179" s="32">
        <v>0.0</v>
      </c>
      <c r="E179" s="43"/>
      <c r="F179" s="18"/>
      <c r="G179" s="18"/>
      <c r="H179" s="18"/>
      <c r="I179" s="18"/>
      <c r="J179" s="18"/>
      <c r="K179" s="18"/>
      <c r="L179" s="18"/>
      <c r="M179" s="18"/>
      <c r="N179" s="18"/>
      <c r="O179" s="18"/>
      <c r="P179" s="18"/>
      <c r="Q179" s="18"/>
      <c r="R179" s="18"/>
      <c r="S179" s="18"/>
      <c r="T179" s="18"/>
      <c r="U179" s="18"/>
      <c r="V179" s="18"/>
      <c r="W179" s="18"/>
      <c r="X179" s="18"/>
      <c r="Y179" s="18"/>
      <c r="Z179" s="18"/>
    </row>
    <row r="180" ht="22.5" customHeight="1">
      <c r="A180" s="22" t="s">
        <v>344</v>
      </c>
      <c r="B180" s="23" t="s">
        <v>36</v>
      </c>
      <c r="C180" s="24">
        <v>3.0</v>
      </c>
      <c r="D180" s="25">
        <v>0.0</v>
      </c>
      <c r="E180" s="45"/>
      <c r="F180" s="18"/>
      <c r="G180" s="18"/>
      <c r="H180" s="18"/>
      <c r="I180" s="18"/>
      <c r="J180" s="18"/>
      <c r="K180" s="18"/>
      <c r="L180" s="18"/>
      <c r="M180" s="18"/>
      <c r="N180" s="18"/>
      <c r="O180" s="18"/>
      <c r="P180" s="18"/>
      <c r="Q180" s="18"/>
      <c r="R180" s="18"/>
      <c r="S180" s="18"/>
      <c r="T180" s="18"/>
      <c r="U180" s="18"/>
      <c r="V180" s="18"/>
      <c r="W180" s="18"/>
      <c r="X180" s="18"/>
      <c r="Y180" s="18"/>
      <c r="Z180" s="18"/>
    </row>
    <row r="181" ht="22.5" customHeight="1">
      <c r="A181" s="28" t="s">
        <v>345</v>
      </c>
      <c r="B181" s="29" t="s">
        <v>36</v>
      </c>
      <c r="C181" s="31">
        <v>3.0</v>
      </c>
      <c r="D181" s="32">
        <v>0.0</v>
      </c>
      <c r="E181" s="43"/>
      <c r="F181" s="18"/>
      <c r="G181" s="18"/>
      <c r="H181" s="18"/>
      <c r="I181" s="18"/>
      <c r="J181" s="18"/>
      <c r="K181" s="18"/>
      <c r="L181" s="18"/>
      <c r="M181" s="18"/>
      <c r="N181" s="18"/>
      <c r="O181" s="18"/>
      <c r="P181" s="18"/>
      <c r="Q181" s="18"/>
      <c r="R181" s="18"/>
      <c r="S181" s="18"/>
      <c r="T181" s="18"/>
      <c r="U181" s="18"/>
      <c r="V181" s="18"/>
      <c r="W181" s="18"/>
      <c r="X181" s="18"/>
      <c r="Y181" s="18"/>
      <c r="Z181" s="18"/>
    </row>
    <row r="182" ht="22.5" customHeight="1">
      <c r="A182" s="22" t="s">
        <v>346</v>
      </c>
      <c r="B182" s="23" t="s">
        <v>36</v>
      </c>
      <c r="C182" s="24">
        <v>3.0</v>
      </c>
      <c r="D182" s="25">
        <v>0.0</v>
      </c>
      <c r="E182" s="45"/>
      <c r="F182" s="18"/>
      <c r="G182" s="18"/>
      <c r="H182" s="18"/>
      <c r="I182" s="18"/>
      <c r="J182" s="18"/>
      <c r="K182" s="18"/>
      <c r="L182" s="18"/>
      <c r="M182" s="18"/>
      <c r="N182" s="18"/>
      <c r="O182" s="18"/>
      <c r="P182" s="18"/>
      <c r="Q182" s="18"/>
      <c r="R182" s="18"/>
      <c r="S182" s="18"/>
      <c r="T182" s="18"/>
      <c r="U182" s="18"/>
      <c r="V182" s="18"/>
      <c r="W182" s="18"/>
      <c r="X182" s="18"/>
      <c r="Y182" s="18"/>
      <c r="Z182" s="18"/>
    </row>
    <row r="183" ht="22.5" customHeight="1">
      <c r="A183" s="28" t="s">
        <v>347</v>
      </c>
      <c r="B183" s="29" t="s">
        <v>36</v>
      </c>
      <c r="C183" s="31">
        <v>3.0</v>
      </c>
      <c r="D183" s="32">
        <v>0.0</v>
      </c>
      <c r="E183" s="43"/>
      <c r="F183" s="18"/>
      <c r="G183" s="18"/>
      <c r="H183" s="18"/>
      <c r="I183" s="18"/>
      <c r="J183" s="18"/>
      <c r="K183" s="18"/>
      <c r="L183" s="18"/>
      <c r="M183" s="18"/>
      <c r="N183" s="18"/>
      <c r="O183" s="18"/>
      <c r="P183" s="18"/>
      <c r="Q183" s="18"/>
      <c r="R183" s="18"/>
      <c r="S183" s="18"/>
      <c r="T183" s="18"/>
      <c r="U183" s="18"/>
      <c r="V183" s="18"/>
      <c r="W183" s="18"/>
      <c r="X183" s="18"/>
      <c r="Y183" s="18"/>
      <c r="Z183" s="18"/>
    </row>
    <row r="184" ht="22.5" customHeight="1">
      <c r="A184" s="22" t="s">
        <v>350</v>
      </c>
      <c r="B184" s="23" t="s">
        <v>36</v>
      </c>
      <c r="C184" s="24">
        <v>3.0</v>
      </c>
      <c r="D184" s="25">
        <v>0.0</v>
      </c>
      <c r="E184" s="45"/>
      <c r="F184" s="18"/>
      <c r="G184" s="18"/>
      <c r="H184" s="18"/>
      <c r="I184" s="18"/>
      <c r="J184" s="18"/>
      <c r="K184" s="18"/>
      <c r="L184" s="18"/>
      <c r="M184" s="18"/>
      <c r="N184" s="18"/>
      <c r="O184" s="18"/>
      <c r="P184" s="18"/>
      <c r="Q184" s="18"/>
      <c r="R184" s="18"/>
      <c r="S184" s="18"/>
      <c r="T184" s="18"/>
      <c r="U184" s="18"/>
      <c r="V184" s="18"/>
      <c r="W184" s="18"/>
      <c r="X184" s="18"/>
      <c r="Y184" s="18"/>
      <c r="Z184" s="18"/>
    </row>
    <row r="185" ht="22.5" customHeight="1">
      <c r="A185" s="28" t="s">
        <v>352</v>
      </c>
      <c r="B185" s="29" t="s">
        <v>36</v>
      </c>
      <c r="C185" s="31">
        <v>3.0</v>
      </c>
      <c r="D185" s="32">
        <v>0.0</v>
      </c>
      <c r="E185" s="43"/>
      <c r="F185" s="18"/>
      <c r="G185" s="18"/>
      <c r="H185" s="18"/>
      <c r="I185" s="18"/>
      <c r="J185" s="18"/>
      <c r="K185" s="18"/>
      <c r="L185" s="18"/>
      <c r="M185" s="18"/>
      <c r="N185" s="18"/>
      <c r="O185" s="18"/>
      <c r="P185" s="18"/>
      <c r="Q185" s="18"/>
      <c r="R185" s="18"/>
      <c r="S185" s="18"/>
      <c r="T185" s="18"/>
      <c r="U185" s="18"/>
      <c r="V185" s="18"/>
      <c r="W185" s="18"/>
      <c r="X185" s="18"/>
      <c r="Y185" s="18"/>
      <c r="Z185" s="18"/>
    </row>
    <row r="186" ht="22.5" customHeight="1">
      <c r="A186" s="22" t="s">
        <v>353</v>
      </c>
      <c r="B186" s="23" t="s">
        <v>36</v>
      </c>
      <c r="C186" s="24">
        <v>3.0</v>
      </c>
      <c r="D186" s="25">
        <v>0.0</v>
      </c>
      <c r="E186" s="45"/>
      <c r="F186" s="18"/>
      <c r="G186" s="18"/>
      <c r="H186" s="18"/>
      <c r="I186" s="18"/>
      <c r="J186" s="18"/>
      <c r="K186" s="18"/>
      <c r="L186" s="18"/>
      <c r="M186" s="18"/>
      <c r="N186" s="18"/>
      <c r="O186" s="18"/>
      <c r="P186" s="18"/>
      <c r="Q186" s="18"/>
      <c r="R186" s="18"/>
      <c r="S186" s="18"/>
      <c r="T186" s="18"/>
      <c r="U186" s="18"/>
      <c r="V186" s="18"/>
      <c r="W186" s="18"/>
      <c r="X186" s="18"/>
      <c r="Y186" s="18"/>
      <c r="Z186" s="18"/>
    </row>
    <row r="187" ht="22.5" customHeight="1">
      <c r="A187" s="28" t="s">
        <v>354</v>
      </c>
      <c r="B187" s="29" t="s">
        <v>36</v>
      </c>
      <c r="C187" s="31">
        <v>3.0</v>
      </c>
      <c r="D187" s="32">
        <v>0.0</v>
      </c>
      <c r="E187" s="43"/>
      <c r="F187" s="18"/>
      <c r="G187" s="18"/>
      <c r="H187" s="18"/>
      <c r="I187" s="18"/>
      <c r="J187" s="18"/>
      <c r="K187" s="18"/>
      <c r="L187" s="18"/>
      <c r="M187" s="18"/>
      <c r="N187" s="18"/>
      <c r="O187" s="18"/>
      <c r="P187" s="18"/>
      <c r="Q187" s="18"/>
      <c r="R187" s="18"/>
      <c r="S187" s="18"/>
      <c r="T187" s="18"/>
      <c r="U187" s="18"/>
      <c r="V187" s="18"/>
      <c r="W187" s="18"/>
      <c r="X187" s="18"/>
      <c r="Y187" s="18"/>
      <c r="Z187" s="18"/>
    </row>
    <row r="188" ht="22.5" customHeight="1">
      <c r="A188" s="22" t="s">
        <v>355</v>
      </c>
      <c r="B188" s="23" t="s">
        <v>36</v>
      </c>
      <c r="C188" s="24">
        <v>3.0</v>
      </c>
      <c r="D188" s="25">
        <v>0.0</v>
      </c>
      <c r="E188" s="45"/>
      <c r="F188" s="18"/>
      <c r="G188" s="18"/>
      <c r="H188" s="18"/>
      <c r="I188" s="18"/>
      <c r="J188" s="18"/>
      <c r="K188" s="18"/>
      <c r="L188" s="18"/>
      <c r="M188" s="18"/>
      <c r="N188" s="18"/>
      <c r="O188" s="18"/>
      <c r="P188" s="18"/>
      <c r="Q188" s="18"/>
      <c r="R188" s="18"/>
      <c r="S188" s="18"/>
      <c r="T188" s="18"/>
      <c r="U188" s="18"/>
      <c r="V188" s="18"/>
      <c r="W188" s="18"/>
      <c r="X188" s="18"/>
      <c r="Y188" s="18"/>
      <c r="Z188" s="18"/>
    </row>
    <row r="189" ht="22.5" customHeight="1">
      <c r="A189" s="28" t="s">
        <v>356</v>
      </c>
      <c r="B189" s="29" t="s">
        <v>36</v>
      </c>
      <c r="C189" s="31">
        <v>3.0</v>
      </c>
      <c r="D189" s="32">
        <v>0.0</v>
      </c>
      <c r="E189" s="43"/>
      <c r="F189" s="18"/>
      <c r="G189" s="18"/>
      <c r="H189" s="18"/>
      <c r="I189" s="18"/>
      <c r="J189" s="18"/>
      <c r="K189" s="18"/>
      <c r="L189" s="18"/>
      <c r="M189" s="18"/>
      <c r="N189" s="18"/>
      <c r="O189" s="18"/>
      <c r="P189" s="18"/>
      <c r="Q189" s="18"/>
      <c r="R189" s="18"/>
      <c r="S189" s="18"/>
      <c r="T189" s="18"/>
      <c r="U189" s="18"/>
      <c r="V189" s="18"/>
      <c r="W189" s="18"/>
      <c r="X189" s="18"/>
      <c r="Y189" s="18"/>
      <c r="Z189" s="18"/>
    </row>
    <row r="190" ht="22.5" customHeight="1">
      <c r="A190" s="22" t="s">
        <v>358</v>
      </c>
      <c r="B190" s="23" t="s">
        <v>36</v>
      </c>
      <c r="C190" s="24">
        <v>3.0</v>
      </c>
      <c r="D190" s="25">
        <v>0.0</v>
      </c>
      <c r="E190" s="45"/>
      <c r="F190" s="18"/>
      <c r="G190" s="18"/>
      <c r="H190" s="18"/>
      <c r="I190" s="18"/>
      <c r="J190" s="18"/>
      <c r="K190" s="18"/>
      <c r="L190" s="18"/>
      <c r="M190" s="18"/>
      <c r="N190" s="18"/>
      <c r="O190" s="18"/>
      <c r="P190" s="18"/>
      <c r="Q190" s="18"/>
      <c r="R190" s="18"/>
      <c r="S190" s="18"/>
      <c r="T190" s="18"/>
      <c r="U190" s="18"/>
      <c r="V190" s="18"/>
      <c r="W190" s="18"/>
      <c r="X190" s="18"/>
      <c r="Y190" s="18"/>
      <c r="Z190" s="18"/>
    </row>
    <row r="191" ht="22.5" customHeight="1">
      <c r="A191" s="28" t="s">
        <v>362</v>
      </c>
      <c r="B191" s="29" t="s">
        <v>36</v>
      </c>
      <c r="C191" s="31">
        <v>3.0</v>
      </c>
      <c r="D191" s="32">
        <v>0.0</v>
      </c>
      <c r="E191" s="43"/>
      <c r="F191" s="18"/>
      <c r="G191" s="18"/>
      <c r="H191" s="18"/>
      <c r="I191" s="18"/>
      <c r="J191" s="18"/>
      <c r="K191" s="18"/>
      <c r="L191" s="18"/>
      <c r="M191" s="18"/>
      <c r="N191" s="18"/>
      <c r="O191" s="18"/>
      <c r="P191" s="18"/>
      <c r="Q191" s="18"/>
      <c r="R191" s="18"/>
      <c r="S191" s="18"/>
      <c r="T191" s="18"/>
      <c r="U191" s="18"/>
      <c r="V191" s="18"/>
      <c r="W191" s="18"/>
      <c r="X191" s="18"/>
      <c r="Y191" s="18"/>
      <c r="Z191" s="18"/>
    </row>
    <row r="192" ht="22.5" customHeight="1">
      <c r="A192" s="22" t="s">
        <v>363</v>
      </c>
      <c r="B192" s="23" t="s">
        <v>36</v>
      </c>
      <c r="C192" s="24">
        <v>3.0</v>
      </c>
      <c r="D192" s="25">
        <v>0.0</v>
      </c>
      <c r="E192" s="45"/>
      <c r="F192" s="18"/>
      <c r="G192" s="18"/>
      <c r="H192" s="18"/>
      <c r="I192" s="18"/>
      <c r="J192" s="18"/>
      <c r="K192" s="18"/>
      <c r="L192" s="18"/>
      <c r="M192" s="18"/>
      <c r="N192" s="18"/>
      <c r="O192" s="18"/>
      <c r="P192" s="18"/>
      <c r="Q192" s="18"/>
      <c r="R192" s="18"/>
      <c r="S192" s="18"/>
      <c r="T192" s="18"/>
      <c r="U192" s="18"/>
      <c r="V192" s="18"/>
      <c r="W192" s="18"/>
      <c r="X192" s="18"/>
      <c r="Y192" s="18"/>
      <c r="Z192" s="18"/>
    </row>
    <row r="193" ht="22.5" customHeight="1">
      <c r="A193" s="28" t="s">
        <v>364</v>
      </c>
      <c r="B193" s="29" t="s">
        <v>36</v>
      </c>
      <c r="C193" s="31">
        <v>3.0</v>
      </c>
      <c r="D193" s="32">
        <v>0.0</v>
      </c>
      <c r="E193" s="43"/>
      <c r="F193" s="18"/>
      <c r="G193" s="18"/>
      <c r="H193" s="18"/>
      <c r="I193" s="18"/>
      <c r="J193" s="18"/>
      <c r="K193" s="18"/>
      <c r="L193" s="18"/>
      <c r="M193" s="18"/>
      <c r="N193" s="18"/>
      <c r="O193" s="18"/>
      <c r="P193" s="18"/>
      <c r="Q193" s="18"/>
      <c r="R193" s="18"/>
      <c r="S193" s="18"/>
      <c r="T193" s="18"/>
      <c r="U193" s="18"/>
      <c r="V193" s="18"/>
      <c r="W193" s="18"/>
      <c r="X193" s="18"/>
      <c r="Y193" s="18"/>
      <c r="Z193" s="18"/>
    </row>
    <row r="194" ht="22.5" customHeight="1">
      <c r="A194" s="22" t="s">
        <v>365</v>
      </c>
      <c r="B194" s="23" t="s">
        <v>36</v>
      </c>
      <c r="C194" s="24">
        <v>3.0</v>
      </c>
      <c r="D194" s="25">
        <v>0.0</v>
      </c>
      <c r="E194" s="45"/>
      <c r="F194" s="18"/>
      <c r="G194" s="18"/>
      <c r="H194" s="18"/>
      <c r="I194" s="18"/>
      <c r="J194" s="18"/>
      <c r="K194" s="18"/>
      <c r="L194" s="18"/>
      <c r="M194" s="18"/>
      <c r="N194" s="18"/>
      <c r="O194" s="18"/>
      <c r="P194" s="18"/>
      <c r="Q194" s="18"/>
      <c r="R194" s="18"/>
      <c r="S194" s="18"/>
      <c r="T194" s="18"/>
      <c r="U194" s="18"/>
      <c r="V194" s="18"/>
      <c r="W194" s="18"/>
      <c r="X194" s="18"/>
      <c r="Y194" s="18"/>
      <c r="Z194" s="18"/>
    </row>
    <row r="195" ht="22.5" customHeight="1">
      <c r="A195" s="28" t="s">
        <v>366</v>
      </c>
      <c r="B195" s="29" t="s">
        <v>36</v>
      </c>
      <c r="C195" s="31">
        <v>3.0</v>
      </c>
      <c r="D195" s="32">
        <v>0.0</v>
      </c>
      <c r="E195" s="43"/>
      <c r="F195" s="18"/>
      <c r="G195" s="18"/>
      <c r="H195" s="18"/>
      <c r="I195" s="18"/>
      <c r="J195" s="18"/>
      <c r="K195" s="18"/>
      <c r="L195" s="18"/>
      <c r="M195" s="18"/>
      <c r="N195" s="18"/>
      <c r="O195" s="18"/>
      <c r="P195" s="18"/>
      <c r="Q195" s="18"/>
      <c r="R195" s="18"/>
      <c r="S195" s="18"/>
      <c r="T195" s="18"/>
      <c r="U195" s="18"/>
      <c r="V195" s="18"/>
      <c r="W195" s="18"/>
      <c r="X195" s="18"/>
      <c r="Y195" s="18"/>
      <c r="Z195" s="18"/>
    </row>
    <row r="196" ht="22.5" customHeight="1">
      <c r="A196" s="22" t="s">
        <v>368</v>
      </c>
      <c r="B196" s="23" t="s">
        <v>36</v>
      </c>
      <c r="C196" s="24">
        <v>3.0</v>
      </c>
      <c r="D196" s="25">
        <v>0.0</v>
      </c>
      <c r="E196" s="45"/>
      <c r="F196" s="18"/>
      <c r="G196" s="18"/>
      <c r="H196" s="18"/>
      <c r="I196" s="18"/>
      <c r="J196" s="18"/>
      <c r="K196" s="18"/>
      <c r="L196" s="18"/>
      <c r="M196" s="18"/>
      <c r="N196" s="18"/>
      <c r="O196" s="18"/>
      <c r="P196" s="18"/>
      <c r="Q196" s="18"/>
      <c r="R196" s="18"/>
      <c r="S196" s="18"/>
      <c r="T196" s="18"/>
      <c r="U196" s="18"/>
      <c r="V196" s="18"/>
      <c r="W196" s="18"/>
      <c r="X196" s="18"/>
      <c r="Y196" s="18"/>
      <c r="Z196" s="18"/>
    </row>
    <row r="197" ht="22.5" customHeight="1">
      <c r="A197" s="28" t="s">
        <v>369</v>
      </c>
      <c r="B197" s="29" t="s">
        <v>36</v>
      </c>
      <c r="C197" s="31">
        <v>3.0</v>
      </c>
      <c r="D197" s="32">
        <v>0.0</v>
      </c>
      <c r="E197" s="43"/>
      <c r="F197" s="18"/>
      <c r="G197" s="18"/>
      <c r="H197" s="18"/>
      <c r="I197" s="18"/>
      <c r="J197" s="18"/>
      <c r="K197" s="18"/>
      <c r="L197" s="18"/>
      <c r="M197" s="18"/>
      <c r="N197" s="18"/>
      <c r="O197" s="18"/>
      <c r="P197" s="18"/>
      <c r="Q197" s="18"/>
      <c r="R197" s="18"/>
      <c r="S197" s="18"/>
      <c r="T197" s="18"/>
      <c r="U197" s="18"/>
      <c r="V197" s="18"/>
      <c r="W197" s="18"/>
      <c r="X197" s="18"/>
      <c r="Y197" s="18"/>
      <c r="Z197" s="18"/>
    </row>
    <row r="198" ht="22.5" customHeight="1">
      <c r="A198" s="22" t="s">
        <v>370</v>
      </c>
      <c r="B198" s="23" t="s">
        <v>36</v>
      </c>
      <c r="C198" s="24">
        <v>3.0</v>
      </c>
      <c r="D198" s="25">
        <v>0.0</v>
      </c>
      <c r="E198" s="45"/>
      <c r="F198" s="18"/>
      <c r="G198" s="18"/>
      <c r="H198" s="18"/>
      <c r="I198" s="18"/>
      <c r="J198" s="18"/>
      <c r="K198" s="18"/>
      <c r="L198" s="18"/>
      <c r="M198" s="18"/>
      <c r="N198" s="18"/>
      <c r="O198" s="18"/>
      <c r="P198" s="18"/>
      <c r="Q198" s="18"/>
      <c r="R198" s="18"/>
      <c r="S198" s="18"/>
      <c r="T198" s="18"/>
      <c r="U198" s="18"/>
      <c r="V198" s="18"/>
      <c r="W198" s="18"/>
      <c r="X198" s="18"/>
      <c r="Y198" s="18"/>
      <c r="Z198" s="18"/>
    </row>
    <row r="199" ht="22.5" customHeight="1">
      <c r="A199" s="28" t="s">
        <v>374</v>
      </c>
      <c r="B199" s="29" t="s">
        <v>36</v>
      </c>
      <c r="C199" s="31">
        <v>3.0</v>
      </c>
      <c r="D199" s="32">
        <v>0.0</v>
      </c>
      <c r="E199" s="43"/>
      <c r="F199" s="18"/>
      <c r="G199" s="18"/>
      <c r="H199" s="18"/>
      <c r="I199" s="18"/>
      <c r="J199" s="18"/>
      <c r="K199" s="18"/>
      <c r="L199" s="18"/>
      <c r="M199" s="18"/>
      <c r="N199" s="18"/>
      <c r="O199" s="18"/>
      <c r="P199" s="18"/>
      <c r="Q199" s="18"/>
      <c r="R199" s="18"/>
      <c r="S199" s="18"/>
      <c r="T199" s="18"/>
      <c r="U199" s="18"/>
      <c r="V199" s="18"/>
      <c r="W199" s="18"/>
      <c r="X199" s="18"/>
      <c r="Y199" s="18"/>
      <c r="Z199" s="18"/>
    </row>
    <row r="200" ht="22.5" customHeight="1">
      <c r="A200" s="22" t="s">
        <v>375</v>
      </c>
      <c r="B200" s="23" t="s">
        <v>36</v>
      </c>
      <c r="C200" s="24">
        <v>3.0</v>
      </c>
      <c r="D200" s="25">
        <v>0.0</v>
      </c>
      <c r="E200" s="45"/>
      <c r="F200" s="18"/>
      <c r="G200" s="18"/>
      <c r="H200" s="18"/>
      <c r="I200" s="18"/>
      <c r="J200" s="18"/>
      <c r="K200" s="18"/>
      <c r="L200" s="18"/>
      <c r="M200" s="18"/>
      <c r="N200" s="18"/>
      <c r="O200" s="18"/>
      <c r="P200" s="18"/>
      <c r="Q200" s="18"/>
      <c r="R200" s="18"/>
      <c r="S200" s="18"/>
      <c r="T200" s="18"/>
      <c r="U200" s="18"/>
      <c r="V200" s="18"/>
      <c r="W200" s="18"/>
      <c r="X200" s="18"/>
      <c r="Y200" s="18"/>
      <c r="Z200" s="18"/>
    </row>
    <row r="201" ht="22.5" customHeight="1">
      <c r="A201" s="28" t="s">
        <v>376</v>
      </c>
      <c r="B201" s="29" t="s">
        <v>36</v>
      </c>
      <c r="C201" s="31">
        <v>3.0</v>
      </c>
      <c r="D201" s="32">
        <v>0.0</v>
      </c>
      <c r="E201" s="43"/>
      <c r="F201" s="18"/>
      <c r="G201" s="18"/>
      <c r="H201" s="18"/>
      <c r="I201" s="18"/>
      <c r="J201" s="18"/>
      <c r="K201" s="18"/>
      <c r="L201" s="18"/>
      <c r="M201" s="18"/>
      <c r="N201" s="18"/>
      <c r="O201" s="18"/>
      <c r="P201" s="18"/>
      <c r="Q201" s="18"/>
      <c r="R201" s="18"/>
      <c r="S201" s="18"/>
      <c r="T201" s="18"/>
      <c r="U201" s="18"/>
      <c r="V201" s="18"/>
      <c r="W201" s="18"/>
      <c r="X201" s="18"/>
      <c r="Y201" s="18"/>
      <c r="Z201" s="18"/>
    </row>
    <row r="202" ht="22.5" customHeight="1">
      <c r="A202" s="22" t="s">
        <v>377</v>
      </c>
      <c r="B202" s="23" t="s">
        <v>36</v>
      </c>
      <c r="C202" s="24">
        <v>3.0</v>
      </c>
      <c r="D202" s="25">
        <v>0.0</v>
      </c>
      <c r="E202" s="45"/>
      <c r="F202" s="18"/>
      <c r="G202" s="18"/>
      <c r="H202" s="18"/>
      <c r="I202" s="18"/>
      <c r="J202" s="18"/>
      <c r="K202" s="18"/>
      <c r="L202" s="18"/>
      <c r="M202" s="18"/>
      <c r="N202" s="18"/>
      <c r="O202" s="18"/>
      <c r="P202" s="18"/>
      <c r="Q202" s="18"/>
      <c r="R202" s="18"/>
      <c r="S202" s="18"/>
      <c r="T202" s="18"/>
      <c r="U202" s="18"/>
      <c r="V202" s="18"/>
      <c r="W202" s="18"/>
      <c r="X202" s="18"/>
      <c r="Y202" s="18"/>
      <c r="Z202" s="18"/>
    </row>
    <row r="203" ht="22.5" customHeight="1">
      <c r="A203" s="28" t="s">
        <v>378</v>
      </c>
      <c r="B203" s="29" t="s">
        <v>36</v>
      </c>
      <c r="C203" s="31">
        <v>3.0</v>
      </c>
      <c r="D203" s="32">
        <v>0.0</v>
      </c>
      <c r="E203" s="43"/>
      <c r="F203" s="18"/>
      <c r="G203" s="18"/>
      <c r="H203" s="18"/>
      <c r="I203" s="18"/>
      <c r="J203" s="18"/>
      <c r="K203" s="18"/>
      <c r="L203" s="18"/>
      <c r="M203" s="18"/>
      <c r="N203" s="18"/>
      <c r="O203" s="18"/>
      <c r="P203" s="18"/>
      <c r="Q203" s="18"/>
      <c r="R203" s="18"/>
      <c r="S203" s="18"/>
      <c r="T203" s="18"/>
      <c r="U203" s="18"/>
      <c r="V203" s="18"/>
      <c r="W203" s="18"/>
      <c r="X203" s="18"/>
      <c r="Y203" s="18"/>
      <c r="Z203" s="18"/>
    </row>
    <row r="204" ht="22.5" customHeight="1">
      <c r="A204" s="22" t="s">
        <v>379</v>
      </c>
      <c r="B204" s="23" t="s">
        <v>36</v>
      </c>
      <c r="C204" s="24">
        <v>3.0</v>
      </c>
      <c r="D204" s="25">
        <v>0.0</v>
      </c>
      <c r="E204" s="45"/>
      <c r="F204" s="18"/>
      <c r="G204" s="18"/>
      <c r="H204" s="18"/>
      <c r="I204" s="18"/>
      <c r="J204" s="18"/>
      <c r="K204" s="18"/>
      <c r="L204" s="18"/>
      <c r="M204" s="18"/>
      <c r="N204" s="18"/>
      <c r="O204" s="18"/>
      <c r="P204" s="18"/>
      <c r="Q204" s="18"/>
      <c r="R204" s="18"/>
      <c r="S204" s="18"/>
      <c r="T204" s="18"/>
      <c r="U204" s="18"/>
      <c r="V204" s="18"/>
      <c r="W204" s="18"/>
      <c r="X204" s="18"/>
      <c r="Y204" s="18"/>
      <c r="Z204" s="18"/>
    </row>
    <row r="205" ht="22.5" customHeight="1">
      <c r="A205" s="28" t="s">
        <v>380</v>
      </c>
      <c r="B205" s="29" t="s">
        <v>36</v>
      </c>
      <c r="C205" s="31">
        <v>3.0</v>
      </c>
      <c r="D205" s="32">
        <v>0.0</v>
      </c>
      <c r="E205" s="43"/>
      <c r="F205" s="18"/>
      <c r="G205" s="18"/>
      <c r="H205" s="18"/>
      <c r="I205" s="18"/>
      <c r="J205" s="18"/>
      <c r="K205" s="18"/>
      <c r="L205" s="18"/>
      <c r="M205" s="18"/>
      <c r="N205" s="18"/>
      <c r="O205" s="18"/>
      <c r="P205" s="18"/>
      <c r="Q205" s="18"/>
      <c r="R205" s="18"/>
      <c r="S205" s="18"/>
      <c r="T205" s="18"/>
      <c r="U205" s="18"/>
      <c r="V205" s="18"/>
      <c r="W205" s="18"/>
      <c r="X205" s="18"/>
      <c r="Y205" s="18"/>
      <c r="Z205" s="18"/>
    </row>
    <row r="206" ht="22.5" customHeight="1">
      <c r="A206" s="22" t="s">
        <v>384</v>
      </c>
      <c r="B206" s="23" t="s">
        <v>36</v>
      </c>
      <c r="C206" s="24">
        <v>3.0</v>
      </c>
      <c r="D206" s="25">
        <v>0.0</v>
      </c>
      <c r="E206" s="45"/>
      <c r="F206" s="18"/>
      <c r="G206" s="18"/>
      <c r="H206" s="18"/>
      <c r="I206" s="18"/>
      <c r="J206" s="18"/>
      <c r="K206" s="18"/>
      <c r="L206" s="18"/>
      <c r="M206" s="18"/>
      <c r="N206" s="18"/>
      <c r="O206" s="18"/>
      <c r="P206" s="18"/>
      <c r="Q206" s="18"/>
      <c r="R206" s="18"/>
      <c r="S206" s="18"/>
      <c r="T206" s="18"/>
      <c r="U206" s="18"/>
      <c r="V206" s="18"/>
      <c r="W206" s="18"/>
      <c r="X206" s="18"/>
      <c r="Y206" s="18"/>
      <c r="Z206" s="18"/>
    </row>
    <row r="207" ht="22.5" customHeight="1">
      <c r="A207" s="28" t="s">
        <v>385</v>
      </c>
      <c r="B207" s="29" t="s">
        <v>36</v>
      </c>
      <c r="C207" s="31">
        <v>3.0</v>
      </c>
      <c r="D207" s="32">
        <v>0.0</v>
      </c>
      <c r="E207" s="43"/>
      <c r="F207" s="18"/>
      <c r="G207" s="18"/>
      <c r="H207" s="18"/>
      <c r="I207" s="18"/>
      <c r="J207" s="18"/>
      <c r="K207" s="18"/>
      <c r="L207" s="18"/>
      <c r="M207" s="18"/>
      <c r="N207" s="18"/>
      <c r="O207" s="18"/>
      <c r="P207" s="18"/>
      <c r="Q207" s="18"/>
      <c r="R207" s="18"/>
      <c r="S207" s="18"/>
      <c r="T207" s="18"/>
      <c r="U207" s="18"/>
      <c r="V207" s="18"/>
      <c r="W207" s="18"/>
      <c r="X207" s="18"/>
      <c r="Y207" s="18"/>
      <c r="Z207" s="18"/>
    </row>
    <row r="208" ht="22.5" customHeight="1">
      <c r="A208" s="22" t="s">
        <v>386</v>
      </c>
      <c r="B208" s="23" t="s">
        <v>36</v>
      </c>
      <c r="C208" s="24">
        <v>3.0</v>
      </c>
      <c r="D208" s="25">
        <v>0.0</v>
      </c>
      <c r="E208" s="45"/>
      <c r="F208" s="18"/>
      <c r="G208" s="18"/>
      <c r="H208" s="18"/>
      <c r="I208" s="18"/>
      <c r="J208" s="18"/>
      <c r="K208" s="18"/>
      <c r="L208" s="18"/>
      <c r="M208" s="18"/>
      <c r="N208" s="18"/>
      <c r="O208" s="18"/>
      <c r="P208" s="18"/>
      <c r="Q208" s="18"/>
      <c r="R208" s="18"/>
      <c r="S208" s="18"/>
      <c r="T208" s="18"/>
      <c r="U208" s="18"/>
      <c r="V208" s="18"/>
      <c r="W208" s="18"/>
      <c r="X208" s="18"/>
      <c r="Y208" s="18"/>
      <c r="Z208" s="18"/>
    </row>
    <row r="209" ht="22.5" customHeight="1">
      <c r="A209" s="28" t="s">
        <v>387</v>
      </c>
      <c r="B209" s="29" t="s">
        <v>36</v>
      </c>
      <c r="C209" s="31">
        <v>3.0</v>
      </c>
      <c r="D209" s="32">
        <v>0.0</v>
      </c>
      <c r="E209" s="43"/>
      <c r="F209" s="18"/>
      <c r="G209" s="18"/>
      <c r="H209" s="18"/>
      <c r="I209" s="18"/>
      <c r="J209" s="18"/>
      <c r="K209" s="18"/>
      <c r="L209" s="18"/>
      <c r="M209" s="18"/>
      <c r="N209" s="18"/>
      <c r="O209" s="18"/>
      <c r="P209" s="18"/>
      <c r="Q209" s="18"/>
      <c r="R209" s="18"/>
      <c r="S209" s="18"/>
      <c r="T209" s="18"/>
      <c r="U209" s="18"/>
      <c r="V209" s="18"/>
      <c r="W209" s="18"/>
      <c r="X209" s="18"/>
      <c r="Y209" s="18"/>
      <c r="Z209" s="18"/>
    </row>
    <row r="210" ht="22.5" customHeight="1">
      <c r="A210" s="22" t="s">
        <v>388</v>
      </c>
      <c r="B210" s="23" t="s">
        <v>76</v>
      </c>
      <c r="C210" s="24">
        <v>3.0</v>
      </c>
      <c r="D210" s="25">
        <v>0.0</v>
      </c>
      <c r="E210" s="45"/>
      <c r="F210" s="18"/>
      <c r="G210" s="18"/>
      <c r="H210" s="18"/>
      <c r="I210" s="18"/>
      <c r="J210" s="18"/>
      <c r="K210" s="18"/>
      <c r="L210" s="18"/>
      <c r="M210" s="18"/>
      <c r="N210" s="18"/>
      <c r="O210" s="18"/>
      <c r="P210" s="18"/>
      <c r="Q210" s="18"/>
      <c r="R210" s="18"/>
      <c r="S210" s="18"/>
      <c r="T210" s="18"/>
      <c r="U210" s="18"/>
      <c r="V210" s="18"/>
      <c r="W210" s="18"/>
      <c r="X210" s="18"/>
      <c r="Y210" s="18"/>
      <c r="Z210" s="18"/>
    </row>
    <row r="211" ht="22.5" customHeight="1">
      <c r="A211" s="28" t="s">
        <v>389</v>
      </c>
      <c r="B211" s="29" t="s">
        <v>36</v>
      </c>
      <c r="C211" s="31">
        <v>3.0</v>
      </c>
      <c r="D211" s="32">
        <v>0.0</v>
      </c>
      <c r="E211" s="43"/>
      <c r="F211" s="18"/>
      <c r="G211" s="18"/>
      <c r="H211" s="18"/>
      <c r="I211" s="18"/>
      <c r="J211" s="18"/>
      <c r="K211" s="18"/>
      <c r="L211" s="18"/>
      <c r="M211" s="18"/>
      <c r="N211" s="18"/>
      <c r="O211" s="18"/>
      <c r="P211" s="18"/>
      <c r="Q211" s="18"/>
      <c r="R211" s="18"/>
      <c r="S211" s="18"/>
      <c r="T211" s="18"/>
      <c r="U211" s="18"/>
      <c r="V211" s="18"/>
      <c r="W211" s="18"/>
      <c r="X211" s="18"/>
      <c r="Y211" s="18"/>
      <c r="Z211" s="18"/>
    </row>
    <row r="212" ht="22.5" customHeight="1">
      <c r="A212" s="22" t="s">
        <v>390</v>
      </c>
      <c r="B212" s="23" t="s">
        <v>36</v>
      </c>
      <c r="C212" s="24">
        <v>3.0</v>
      </c>
      <c r="D212" s="25">
        <v>0.0</v>
      </c>
      <c r="E212" s="45"/>
      <c r="F212" s="18"/>
      <c r="G212" s="18"/>
      <c r="H212" s="18"/>
      <c r="I212" s="18"/>
      <c r="J212" s="18"/>
      <c r="K212" s="18"/>
      <c r="L212" s="18"/>
      <c r="M212" s="18"/>
      <c r="N212" s="18"/>
      <c r="O212" s="18"/>
      <c r="P212" s="18"/>
      <c r="Q212" s="18"/>
      <c r="R212" s="18"/>
      <c r="S212" s="18"/>
      <c r="T212" s="18"/>
      <c r="U212" s="18"/>
      <c r="V212" s="18"/>
      <c r="W212" s="18"/>
      <c r="X212" s="18"/>
      <c r="Y212" s="18"/>
      <c r="Z212" s="18"/>
    </row>
    <row r="213" ht="22.5" customHeight="1">
      <c r="A213" s="28" t="s">
        <v>392</v>
      </c>
      <c r="B213" s="29" t="s">
        <v>36</v>
      </c>
      <c r="C213" s="31">
        <v>3.0</v>
      </c>
      <c r="D213" s="32">
        <v>0.0</v>
      </c>
      <c r="E213" s="43"/>
      <c r="F213" s="18"/>
      <c r="G213" s="18"/>
      <c r="H213" s="18"/>
      <c r="I213" s="18"/>
      <c r="J213" s="18"/>
      <c r="K213" s="18"/>
      <c r="L213" s="18"/>
      <c r="M213" s="18"/>
      <c r="N213" s="18"/>
      <c r="O213" s="18"/>
      <c r="P213" s="18"/>
      <c r="Q213" s="18"/>
      <c r="R213" s="18"/>
      <c r="S213" s="18"/>
      <c r="T213" s="18"/>
      <c r="U213" s="18"/>
      <c r="V213" s="18"/>
      <c r="W213" s="18"/>
      <c r="X213" s="18"/>
      <c r="Y213" s="18"/>
      <c r="Z213" s="18"/>
    </row>
    <row r="214" ht="22.5" customHeight="1">
      <c r="A214" s="22" t="s">
        <v>394</v>
      </c>
      <c r="B214" s="23" t="s">
        <v>36</v>
      </c>
      <c r="C214" s="24">
        <v>3.0</v>
      </c>
      <c r="D214" s="25">
        <v>0.0</v>
      </c>
      <c r="E214" s="45"/>
      <c r="F214" s="18"/>
      <c r="G214" s="18"/>
      <c r="H214" s="18"/>
      <c r="I214" s="18"/>
      <c r="J214" s="18"/>
      <c r="K214" s="18"/>
      <c r="L214" s="18"/>
      <c r="M214" s="18"/>
      <c r="N214" s="18"/>
      <c r="O214" s="18"/>
      <c r="P214" s="18"/>
      <c r="Q214" s="18"/>
      <c r="R214" s="18"/>
      <c r="S214" s="18"/>
      <c r="T214" s="18"/>
      <c r="U214" s="18"/>
      <c r="V214" s="18"/>
      <c r="W214" s="18"/>
      <c r="X214" s="18"/>
      <c r="Y214" s="18"/>
      <c r="Z214" s="18"/>
    </row>
    <row r="215" ht="22.5" customHeight="1">
      <c r="A215" s="28" t="s">
        <v>395</v>
      </c>
      <c r="B215" s="29" t="s">
        <v>36</v>
      </c>
      <c r="C215" s="31">
        <v>3.0</v>
      </c>
      <c r="D215" s="32">
        <v>0.0</v>
      </c>
      <c r="E215" s="43"/>
      <c r="F215" s="18"/>
      <c r="G215" s="18"/>
      <c r="H215" s="18"/>
      <c r="I215" s="18"/>
      <c r="J215" s="18"/>
      <c r="K215" s="18"/>
      <c r="L215" s="18"/>
      <c r="M215" s="18"/>
      <c r="N215" s="18"/>
      <c r="O215" s="18"/>
      <c r="P215" s="18"/>
      <c r="Q215" s="18"/>
      <c r="R215" s="18"/>
      <c r="S215" s="18"/>
      <c r="T215" s="18"/>
      <c r="U215" s="18"/>
      <c r="V215" s="18"/>
      <c r="W215" s="18"/>
      <c r="X215" s="18"/>
      <c r="Y215" s="18"/>
      <c r="Z215" s="18"/>
    </row>
    <row r="216" ht="22.5" customHeight="1">
      <c r="A216" s="22" t="s">
        <v>396</v>
      </c>
      <c r="B216" s="23" t="s">
        <v>36</v>
      </c>
      <c r="C216" s="24">
        <v>3.0</v>
      </c>
      <c r="D216" s="25">
        <v>0.0</v>
      </c>
      <c r="E216" s="45"/>
      <c r="F216" s="18"/>
      <c r="G216" s="18"/>
      <c r="H216" s="18"/>
      <c r="I216" s="18"/>
      <c r="J216" s="18"/>
      <c r="K216" s="18"/>
      <c r="L216" s="18"/>
      <c r="M216" s="18"/>
      <c r="N216" s="18"/>
      <c r="O216" s="18"/>
      <c r="P216" s="18"/>
      <c r="Q216" s="18"/>
      <c r="R216" s="18"/>
      <c r="S216" s="18"/>
      <c r="T216" s="18"/>
      <c r="U216" s="18"/>
      <c r="V216" s="18"/>
      <c r="W216" s="18"/>
      <c r="X216" s="18"/>
      <c r="Y216" s="18"/>
      <c r="Z216" s="18"/>
    </row>
    <row r="217" ht="22.5" customHeight="1">
      <c r="A217" s="28" t="s">
        <v>397</v>
      </c>
      <c r="B217" s="29" t="s">
        <v>36</v>
      </c>
      <c r="C217" s="31">
        <v>3.0</v>
      </c>
      <c r="D217" s="32">
        <v>0.0</v>
      </c>
      <c r="E217" s="43"/>
      <c r="F217" s="18"/>
      <c r="G217" s="18"/>
      <c r="H217" s="18"/>
      <c r="I217" s="18"/>
      <c r="J217" s="18"/>
      <c r="K217" s="18"/>
      <c r="L217" s="18"/>
      <c r="M217" s="18"/>
      <c r="N217" s="18"/>
      <c r="O217" s="18"/>
      <c r="P217" s="18"/>
      <c r="Q217" s="18"/>
      <c r="R217" s="18"/>
      <c r="S217" s="18"/>
      <c r="T217" s="18"/>
      <c r="U217" s="18"/>
      <c r="V217" s="18"/>
      <c r="W217" s="18"/>
      <c r="X217" s="18"/>
      <c r="Y217" s="18"/>
      <c r="Z217" s="18"/>
    </row>
    <row r="218" ht="22.5" customHeight="1">
      <c r="A218" s="22" t="s">
        <v>398</v>
      </c>
      <c r="B218" s="23" t="s">
        <v>36</v>
      </c>
      <c r="C218" s="24">
        <v>3.0</v>
      </c>
      <c r="D218" s="25">
        <v>0.0</v>
      </c>
      <c r="E218" s="45"/>
      <c r="F218" s="18"/>
      <c r="G218" s="18"/>
      <c r="H218" s="18"/>
      <c r="I218" s="18"/>
      <c r="J218" s="18"/>
      <c r="K218" s="18"/>
      <c r="L218" s="18"/>
      <c r="M218" s="18"/>
      <c r="N218" s="18"/>
      <c r="O218" s="18"/>
      <c r="P218" s="18"/>
      <c r="Q218" s="18"/>
      <c r="R218" s="18"/>
      <c r="S218" s="18"/>
      <c r="T218" s="18"/>
      <c r="U218" s="18"/>
      <c r="V218" s="18"/>
      <c r="W218" s="18"/>
      <c r="X218" s="18"/>
      <c r="Y218" s="18"/>
      <c r="Z218" s="18"/>
    </row>
    <row r="219" ht="22.5" customHeight="1">
      <c r="A219" s="28" t="s">
        <v>399</v>
      </c>
      <c r="B219" s="29" t="s">
        <v>36</v>
      </c>
      <c r="C219" s="31">
        <v>3.0</v>
      </c>
      <c r="D219" s="32">
        <v>0.0</v>
      </c>
      <c r="E219" s="43"/>
      <c r="F219" s="18"/>
      <c r="G219" s="18"/>
      <c r="H219" s="18"/>
      <c r="I219" s="18"/>
      <c r="J219" s="18"/>
      <c r="K219" s="18"/>
      <c r="L219" s="18"/>
      <c r="M219" s="18"/>
      <c r="N219" s="18"/>
      <c r="O219" s="18"/>
      <c r="P219" s="18"/>
      <c r="Q219" s="18"/>
      <c r="R219" s="18"/>
      <c r="S219" s="18"/>
      <c r="T219" s="18"/>
      <c r="U219" s="18"/>
      <c r="V219" s="18"/>
      <c r="W219" s="18"/>
      <c r="X219" s="18"/>
      <c r="Y219" s="18"/>
      <c r="Z219" s="18"/>
    </row>
    <row r="220" ht="22.5" customHeight="1">
      <c r="A220" s="22" t="s">
        <v>400</v>
      </c>
      <c r="B220" s="23" t="s">
        <v>36</v>
      </c>
      <c r="C220" s="24">
        <v>3.0</v>
      </c>
      <c r="D220" s="25">
        <v>0.0</v>
      </c>
      <c r="E220" s="45"/>
      <c r="F220" s="18"/>
      <c r="G220" s="18"/>
      <c r="H220" s="18"/>
      <c r="I220" s="18"/>
      <c r="J220" s="18"/>
      <c r="K220" s="18"/>
      <c r="L220" s="18"/>
      <c r="M220" s="18"/>
      <c r="N220" s="18"/>
      <c r="O220" s="18"/>
      <c r="P220" s="18"/>
      <c r="Q220" s="18"/>
      <c r="R220" s="18"/>
      <c r="S220" s="18"/>
      <c r="T220" s="18"/>
      <c r="U220" s="18"/>
      <c r="V220" s="18"/>
      <c r="W220" s="18"/>
      <c r="X220" s="18"/>
      <c r="Y220" s="18"/>
      <c r="Z220" s="18"/>
    </row>
    <row r="221" ht="22.5" customHeight="1">
      <c r="A221" s="28" t="s">
        <v>402</v>
      </c>
      <c r="B221" s="29" t="s">
        <v>36</v>
      </c>
      <c r="C221" s="31">
        <v>3.0</v>
      </c>
      <c r="D221" s="32">
        <v>0.0</v>
      </c>
      <c r="E221" s="43"/>
      <c r="F221" s="18"/>
      <c r="G221" s="18"/>
      <c r="H221" s="18"/>
      <c r="I221" s="18"/>
      <c r="J221" s="18"/>
      <c r="K221" s="18"/>
      <c r="L221" s="18"/>
      <c r="M221" s="18"/>
      <c r="N221" s="18"/>
      <c r="O221" s="18"/>
      <c r="P221" s="18"/>
      <c r="Q221" s="18"/>
      <c r="R221" s="18"/>
      <c r="S221" s="18"/>
      <c r="T221" s="18"/>
      <c r="U221" s="18"/>
      <c r="V221" s="18"/>
      <c r="W221" s="18"/>
      <c r="X221" s="18"/>
      <c r="Y221" s="18"/>
      <c r="Z221" s="18"/>
    </row>
    <row r="222" ht="22.5" customHeight="1">
      <c r="A222" s="22" t="s">
        <v>404</v>
      </c>
      <c r="B222" s="23" t="s">
        <v>36</v>
      </c>
      <c r="C222" s="24">
        <v>3.0</v>
      </c>
      <c r="D222" s="25">
        <v>0.0</v>
      </c>
      <c r="E222" s="45"/>
      <c r="F222" s="18"/>
      <c r="G222" s="18"/>
      <c r="H222" s="18"/>
      <c r="I222" s="18"/>
      <c r="J222" s="18"/>
      <c r="K222" s="18"/>
      <c r="L222" s="18"/>
      <c r="M222" s="18"/>
      <c r="N222" s="18"/>
      <c r="O222" s="18"/>
      <c r="P222" s="18"/>
      <c r="Q222" s="18"/>
      <c r="R222" s="18"/>
      <c r="S222" s="18"/>
      <c r="T222" s="18"/>
      <c r="U222" s="18"/>
      <c r="V222" s="18"/>
      <c r="W222" s="18"/>
      <c r="X222" s="18"/>
      <c r="Y222" s="18"/>
      <c r="Z222" s="18"/>
    </row>
    <row r="223" ht="22.5" customHeight="1">
      <c r="A223" s="28" t="s">
        <v>405</v>
      </c>
      <c r="B223" s="29" t="s">
        <v>36</v>
      </c>
      <c r="C223" s="31">
        <v>3.0</v>
      </c>
      <c r="D223" s="32">
        <v>0.0</v>
      </c>
      <c r="E223" s="43"/>
      <c r="F223" s="18"/>
      <c r="G223" s="18"/>
      <c r="H223" s="18"/>
      <c r="I223" s="18"/>
      <c r="J223" s="18"/>
      <c r="K223" s="18"/>
      <c r="L223" s="18"/>
      <c r="M223" s="18"/>
      <c r="N223" s="18"/>
      <c r="O223" s="18"/>
      <c r="P223" s="18"/>
      <c r="Q223" s="18"/>
      <c r="R223" s="18"/>
      <c r="S223" s="18"/>
      <c r="T223" s="18"/>
      <c r="U223" s="18"/>
      <c r="V223" s="18"/>
      <c r="W223" s="18"/>
      <c r="X223" s="18"/>
      <c r="Y223" s="18"/>
      <c r="Z223" s="18"/>
    </row>
    <row r="224" ht="22.5" customHeight="1">
      <c r="A224" s="22" t="s">
        <v>406</v>
      </c>
      <c r="B224" s="23" t="s">
        <v>36</v>
      </c>
      <c r="C224" s="24">
        <v>3.0</v>
      </c>
      <c r="D224" s="25">
        <v>0.0</v>
      </c>
      <c r="E224" s="45"/>
      <c r="F224" s="18"/>
      <c r="G224" s="18"/>
      <c r="H224" s="18"/>
      <c r="I224" s="18"/>
      <c r="J224" s="18"/>
      <c r="K224" s="18"/>
      <c r="L224" s="18"/>
      <c r="M224" s="18"/>
      <c r="N224" s="18"/>
      <c r="O224" s="18"/>
      <c r="P224" s="18"/>
      <c r="Q224" s="18"/>
      <c r="R224" s="18"/>
      <c r="S224" s="18"/>
      <c r="T224" s="18"/>
      <c r="U224" s="18"/>
      <c r="V224" s="18"/>
      <c r="W224" s="18"/>
      <c r="X224" s="18"/>
      <c r="Y224" s="18"/>
      <c r="Z224" s="18"/>
    </row>
    <row r="225" ht="22.5" customHeight="1">
      <c r="A225" s="28" t="s">
        <v>407</v>
      </c>
      <c r="B225" s="29" t="s">
        <v>36</v>
      </c>
      <c r="C225" s="31">
        <v>3.0</v>
      </c>
      <c r="D225" s="32">
        <v>0.0</v>
      </c>
      <c r="E225" s="43"/>
      <c r="F225" s="18"/>
      <c r="G225" s="18"/>
      <c r="H225" s="18"/>
      <c r="I225" s="18"/>
      <c r="J225" s="18"/>
      <c r="K225" s="18"/>
      <c r="L225" s="18"/>
      <c r="M225" s="18"/>
      <c r="N225" s="18"/>
      <c r="O225" s="18"/>
      <c r="P225" s="18"/>
      <c r="Q225" s="18"/>
      <c r="R225" s="18"/>
      <c r="S225" s="18"/>
      <c r="T225" s="18"/>
      <c r="U225" s="18"/>
      <c r="V225" s="18"/>
      <c r="W225" s="18"/>
      <c r="X225" s="18"/>
      <c r="Y225" s="18"/>
      <c r="Z225" s="18"/>
    </row>
    <row r="226" ht="22.5" customHeight="1">
      <c r="A226" s="22" t="s">
        <v>408</v>
      </c>
      <c r="B226" s="23" t="s">
        <v>36</v>
      </c>
      <c r="C226" s="24">
        <v>3.0</v>
      </c>
      <c r="D226" s="25">
        <v>0.0</v>
      </c>
      <c r="E226" s="45"/>
      <c r="F226" s="18"/>
      <c r="G226" s="18"/>
      <c r="H226" s="18"/>
      <c r="I226" s="18"/>
      <c r="J226" s="18"/>
      <c r="K226" s="18"/>
      <c r="L226" s="18"/>
      <c r="M226" s="18"/>
      <c r="N226" s="18"/>
      <c r="O226" s="18"/>
      <c r="P226" s="18"/>
      <c r="Q226" s="18"/>
      <c r="R226" s="18"/>
      <c r="S226" s="18"/>
      <c r="T226" s="18"/>
      <c r="U226" s="18"/>
      <c r="V226" s="18"/>
      <c r="W226" s="18"/>
      <c r="X226" s="18"/>
      <c r="Y226" s="18"/>
      <c r="Z226" s="18"/>
    </row>
    <row r="227" ht="22.5" customHeight="1">
      <c r="A227" s="28" t="s">
        <v>409</v>
      </c>
      <c r="B227" s="29" t="s">
        <v>36</v>
      </c>
      <c r="C227" s="31">
        <v>3.0</v>
      </c>
      <c r="D227" s="32">
        <v>0.0</v>
      </c>
      <c r="E227" s="43"/>
      <c r="F227" s="18"/>
      <c r="G227" s="18"/>
      <c r="H227" s="18"/>
      <c r="I227" s="18"/>
      <c r="J227" s="18"/>
      <c r="K227" s="18"/>
      <c r="L227" s="18"/>
      <c r="M227" s="18"/>
      <c r="N227" s="18"/>
      <c r="O227" s="18"/>
      <c r="P227" s="18"/>
      <c r="Q227" s="18"/>
      <c r="R227" s="18"/>
      <c r="S227" s="18"/>
      <c r="T227" s="18"/>
      <c r="U227" s="18"/>
      <c r="V227" s="18"/>
      <c r="W227" s="18"/>
      <c r="X227" s="18"/>
      <c r="Y227" s="18"/>
      <c r="Z227" s="18"/>
    </row>
    <row r="228" ht="22.5" customHeight="1">
      <c r="A228" s="22" t="s">
        <v>412</v>
      </c>
      <c r="B228" s="23" t="s">
        <v>36</v>
      </c>
      <c r="C228" s="24">
        <v>3.0</v>
      </c>
      <c r="D228" s="25">
        <v>0.0</v>
      </c>
      <c r="E228" s="45"/>
      <c r="F228" s="18"/>
      <c r="G228" s="18"/>
      <c r="H228" s="18"/>
      <c r="I228" s="18"/>
      <c r="J228" s="18"/>
      <c r="K228" s="18"/>
      <c r="L228" s="18"/>
      <c r="M228" s="18"/>
      <c r="N228" s="18"/>
      <c r="O228" s="18"/>
      <c r="P228" s="18"/>
      <c r="Q228" s="18"/>
      <c r="R228" s="18"/>
      <c r="S228" s="18"/>
      <c r="T228" s="18"/>
      <c r="U228" s="18"/>
      <c r="V228" s="18"/>
      <c r="W228" s="18"/>
      <c r="X228" s="18"/>
      <c r="Y228" s="18"/>
      <c r="Z228" s="18"/>
    </row>
    <row r="229" ht="22.5" customHeight="1">
      <c r="A229" s="28" t="s">
        <v>415</v>
      </c>
      <c r="B229" s="29" t="s">
        <v>36</v>
      </c>
      <c r="C229" s="31">
        <v>3.0</v>
      </c>
      <c r="D229" s="32">
        <v>0.0</v>
      </c>
      <c r="E229" s="43"/>
      <c r="F229" s="18"/>
      <c r="G229" s="18"/>
      <c r="H229" s="18"/>
      <c r="I229" s="18"/>
      <c r="J229" s="18"/>
      <c r="K229" s="18"/>
      <c r="L229" s="18"/>
      <c r="M229" s="18"/>
      <c r="N229" s="18"/>
      <c r="O229" s="18"/>
      <c r="P229" s="18"/>
      <c r="Q229" s="18"/>
      <c r="R229" s="18"/>
      <c r="S229" s="18"/>
      <c r="T229" s="18"/>
      <c r="U229" s="18"/>
      <c r="V229" s="18"/>
      <c r="W229" s="18"/>
      <c r="X229" s="18"/>
      <c r="Y229" s="18"/>
      <c r="Z229" s="18"/>
    </row>
    <row r="230" ht="22.5" customHeight="1">
      <c r="A230" s="22" t="s">
        <v>416</v>
      </c>
      <c r="B230" s="23" t="s">
        <v>36</v>
      </c>
      <c r="C230" s="24">
        <v>3.0</v>
      </c>
      <c r="D230" s="25">
        <v>0.0</v>
      </c>
      <c r="E230" s="45"/>
      <c r="F230" s="18"/>
      <c r="G230" s="18"/>
      <c r="H230" s="18"/>
      <c r="I230" s="18"/>
      <c r="J230" s="18"/>
      <c r="K230" s="18"/>
      <c r="L230" s="18"/>
      <c r="M230" s="18"/>
      <c r="N230" s="18"/>
      <c r="O230" s="18"/>
      <c r="P230" s="18"/>
      <c r="Q230" s="18"/>
      <c r="R230" s="18"/>
      <c r="S230" s="18"/>
      <c r="T230" s="18"/>
      <c r="U230" s="18"/>
      <c r="V230" s="18"/>
      <c r="W230" s="18"/>
      <c r="X230" s="18"/>
      <c r="Y230" s="18"/>
      <c r="Z230" s="18"/>
    </row>
    <row r="231" ht="22.5" customHeight="1">
      <c r="A231" s="28" t="s">
        <v>417</v>
      </c>
      <c r="B231" s="29" t="s">
        <v>36</v>
      </c>
      <c r="C231" s="31">
        <v>3.0</v>
      </c>
      <c r="D231" s="32">
        <v>0.0</v>
      </c>
      <c r="E231" s="43"/>
      <c r="F231" s="18"/>
      <c r="G231" s="18"/>
      <c r="H231" s="18"/>
      <c r="I231" s="18"/>
      <c r="J231" s="18"/>
      <c r="K231" s="18"/>
      <c r="L231" s="18"/>
      <c r="M231" s="18"/>
      <c r="N231" s="18"/>
      <c r="O231" s="18"/>
      <c r="P231" s="18"/>
      <c r="Q231" s="18"/>
      <c r="R231" s="18"/>
      <c r="S231" s="18"/>
      <c r="T231" s="18"/>
      <c r="U231" s="18"/>
      <c r="V231" s="18"/>
      <c r="W231" s="18"/>
      <c r="X231" s="18"/>
      <c r="Y231" s="18"/>
      <c r="Z231" s="18"/>
    </row>
    <row r="232" ht="22.5" customHeight="1">
      <c r="A232" s="22" t="s">
        <v>418</v>
      </c>
      <c r="B232" s="23" t="s">
        <v>36</v>
      </c>
      <c r="C232" s="24">
        <v>3.0</v>
      </c>
      <c r="D232" s="25">
        <v>0.0</v>
      </c>
      <c r="E232" s="45"/>
      <c r="F232" s="18"/>
      <c r="G232" s="18"/>
      <c r="H232" s="18"/>
      <c r="I232" s="18"/>
      <c r="J232" s="18"/>
      <c r="K232" s="18"/>
      <c r="L232" s="18"/>
      <c r="M232" s="18"/>
      <c r="N232" s="18"/>
      <c r="O232" s="18"/>
      <c r="P232" s="18"/>
      <c r="Q232" s="18"/>
      <c r="R232" s="18"/>
      <c r="S232" s="18"/>
      <c r="T232" s="18"/>
      <c r="U232" s="18"/>
      <c r="V232" s="18"/>
      <c r="W232" s="18"/>
      <c r="X232" s="18"/>
      <c r="Y232" s="18"/>
      <c r="Z232" s="18"/>
    </row>
    <row r="233" ht="22.5" customHeight="1">
      <c r="A233" s="28" t="s">
        <v>419</v>
      </c>
      <c r="B233" s="29" t="s">
        <v>36</v>
      </c>
      <c r="C233" s="31">
        <v>3.0</v>
      </c>
      <c r="D233" s="32">
        <v>0.0</v>
      </c>
      <c r="E233" s="43"/>
      <c r="F233" s="18"/>
      <c r="G233" s="18"/>
      <c r="H233" s="18"/>
      <c r="I233" s="18"/>
      <c r="J233" s="18"/>
      <c r="K233" s="18"/>
      <c r="L233" s="18"/>
      <c r="M233" s="18"/>
      <c r="N233" s="18"/>
      <c r="O233" s="18"/>
      <c r="P233" s="18"/>
      <c r="Q233" s="18"/>
      <c r="R233" s="18"/>
      <c r="S233" s="18"/>
      <c r="T233" s="18"/>
      <c r="U233" s="18"/>
      <c r="V233" s="18"/>
      <c r="W233" s="18"/>
      <c r="X233" s="18"/>
      <c r="Y233" s="18"/>
      <c r="Z233" s="18"/>
    </row>
    <row r="234" ht="22.5" customHeight="1">
      <c r="A234" s="22" t="s">
        <v>421</v>
      </c>
      <c r="B234" s="23" t="s">
        <v>36</v>
      </c>
      <c r="C234" s="24">
        <v>3.0</v>
      </c>
      <c r="D234" s="25">
        <v>0.0</v>
      </c>
      <c r="E234" s="45"/>
      <c r="F234" s="18"/>
      <c r="G234" s="18"/>
      <c r="H234" s="18"/>
      <c r="I234" s="18"/>
      <c r="J234" s="18"/>
      <c r="K234" s="18"/>
      <c r="L234" s="18"/>
      <c r="M234" s="18"/>
      <c r="N234" s="18"/>
      <c r="O234" s="18"/>
      <c r="P234" s="18"/>
      <c r="Q234" s="18"/>
      <c r="R234" s="18"/>
      <c r="S234" s="18"/>
      <c r="T234" s="18"/>
      <c r="U234" s="18"/>
      <c r="V234" s="18"/>
      <c r="W234" s="18"/>
      <c r="X234" s="18"/>
      <c r="Y234" s="18"/>
      <c r="Z234" s="18"/>
    </row>
    <row r="235" ht="22.5" customHeight="1">
      <c r="A235" s="28" t="s">
        <v>423</v>
      </c>
      <c r="B235" s="29" t="s">
        <v>36</v>
      </c>
      <c r="C235" s="31">
        <v>3.0</v>
      </c>
      <c r="D235" s="32">
        <v>0.0</v>
      </c>
      <c r="E235" s="43"/>
      <c r="F235" s="18"/>
      <c r="G235" s="18"/>
      <c r="H235" s="18"/>
      <c r="I235" s="18"/>
      <c r="J235" s="18"/>
      <c r="K235" s="18"/>
      <c r="L235" s="18"/>
      <c r="M235" s="18"/>
      <c r="N235" s="18"/>
      <c r="O235" s="18"/>
      <c r="P235" s="18"/>
      <c r="Q235" s="18"/>
      <c r="R235" s="18"/>
      <c r="S235" s="18"/>
      <c r="T235" s="18"/>
      <c r="U235" s="18"/>
      <c r="V235" s="18"/>
      <c r="W235" s="18"/>
      <c r="X235" s="18"/>
      <c r="Y235" s="18"/>
      <c r="Z235" s="18"/>
    </row>
    <row r="236" ht="22.5" customHeight="1">
      <c r="A236" s="22" t="s">
        <v>424</v>
      </c>
      <c r="B236" s="23" t="s">
        <v>36</v>
      </c>
      <c r="C236" s="24">
        <v>3.0</v>
      </c>
      <c r="D236" s="25">
        <v>0.0</v>
      </c>
      <c r="E236" s="45"/>
      <c r="F236" s="18"/>
      <c r="G236" s="18"/>
      <c r="H236" s="18"/>
      <c r="I236" s="18"/>
      <c r="J236" s="18"/>
      <c r="K236" s="18"/>
      <c r="L236" s="18"/>
      <c r="M236" s="18"/>
      <c r="N236" s="18"/>
      <c r="O236" s="18"/>
      <c r="P236" s="18"/>
      <c r="Q236" s="18"/>
      <c r="R236" s="18"/>
      <c r="S236" s="18"/>
      <c r="T236" s="18"/>
      <c r="U236" s="18"/>
      <c r="V236" s="18"/>
      <c r="W236" s="18"/>
      <c r="X236" s="18"/>
      <c r="Y236" s="18"/>
      <c r="Z236" s="18"/>
    </row>
    <row r="237" ht="22.5" customHeight="1">
      <c r="A237" s="28" t="s">
        <v>425</v>
      </c>
      <c r="B237" s="29" t="s">
        <v>36</v>
      </c>
      <c r="C237" s="31">
        <v>3.0</v>
      </c>
      <c r="D237" s="32">
        <v>0.0</v>
      </c>
      <c r="E237" s="43"/>
      <c r="F237" s="18"/>
      <c r="G237" s="18"/>
      <c r="H237" s="18"/>
      <c r="I237" s="18"/>
      <c r="J237" s="18"/>
      <c r="K237" s="18"/>
      <c r="L237" s="18"/>
      <c r="M237" s="18"/>
      <c r="N237" s="18"/>
      <c r="O237" s="18"/>
      <c r="P237" s="18"/>
      <c r="Q237" s="18"/>
      <c r="R237" s="18"/>
      <c r="S237" s="18"/>
      <c r="T237" s="18"/>
      <c r="U237" s="18"/>
      <c r="V237" s="18"/>
      <c r="W237" s="18"/>
      <c r="X237" s="18"/>
      <c r="Y237" s="18"/>
      <c r="Z237" s="18"/>
    </row>
    <row r="238" ht="22.5" customHeight="1">
      <c r="A238" s="22" t="s">
        <v>426</v>
      </c>
      <c r="B238" s="23" t="s">
        <v>36</v>
      </c>
      <c r="C238" s="24">
        <v>3.0</v>
      </c>
      <c r="D238" s="25">
        <v>0.0</v>
      </c>
      <c r="E238" s="45"/>
      <c r="F238" s="18"/>
      <c r="G238" s="18"/>
      <c r="H238" s="18"/>
      <c r="I238" s="18"/>
      <c r="J238" s="18"/>
      <c r="K238" s="18"/>
      <c r="L238" s="18"/>
      <c r="M238" s="18"/>
      <c r="N238" s="18"/>
      <c r="O238" s="18"/>
      <c r="P238" s="18"/>
      <c r="Q238" s="18"/>
      <c r="R238" s="18"/>
      <c r="S238" s="18"/>
      <c r="T238" s="18"/>
      <c r="U238" s="18"/>
      <c r="V238" s="18"/>
      <c r="W238" s="18"/>
      <c r="X238" s="18"/>
      <c r="Y238" s="18"/>
      <c r="Z238" s="18"/>
    </row>
    <row r="239" ht="22.5" customHeight="1">
      <c r="A239" s="28" t="s">
        <v>427</v>
      </c>
      <c r="B239" s="29" t="s">
        <v>36</v>
      </c>
      <c r="C239" s="31">
        <v>3.0</v>
      </c>
      <c r="D239" s="32">
        <v>0.0</v>
      </c>
      <c r="E239" s="43"/>
      <c r="F239" s="18"/>
      <c r="G239" s="18"/>
      <c r="H239" s="18"/>
      <c r="I239" s="18"/>
      <c r="J239" s="18"/>
      <c r="K239" s="18"/>
      <c r="L239" s="18"/>
      <c r="M239" s="18"/>
      <c r="N239" s="18"/>
      <c r="O239" s="18"/>
      <c r="P239" s="18"/>
      <c r="Q239" s="18"/>
      <c r="R239" s="18"/>
      <c r="S239" s="18"/>
      <c r="T239" s="18"/>
      <c r="U239" s="18"/>
      <c r="V239" s="18"/>
      <c r="W239" s="18"/>
      <c r="X239" s="18"/>
      <c r="Y239" s="18"/>
      <c r="Z239" s="18"/>
    </row>
    <row r="240" ht="22.5" customHeight="1">
      <c r="A240" s="22" t="s">
        <v>429</v>
      </c>
      <c r="B240" s="23" t="s">
        <v>36</v>
      </c>
      <c r="C240" s="24">
        <v>3.0</v>
      </c>
      <c r="D240" s="25">
        <v>0.0</v>
      </c>
      <c r="E240" s="45"/>
      <c r="F240" s="18"/>
      <c r="G240" s="18"/>
      <c r="H240" s="18"/>
      <c r="I240" s="18"/>
      <c r="J240" s="18"/>
      <c r="K240" s="18"/>
      <c r="L240" s="18"/>
      <c r="M240" s="18"/>
      <c r="N240" s="18"/>
      <c r="O240" s="18"/>
      <c r="P240" s="18"/>
      <c r="Q240" s="18"/>
      <c r="R240" s="18"/>
      <c r="S240" s="18"/>
      <c r="T240" s="18"/>
      <c r="U240" s="18"/>
      <c r="V240" s="18"/>
      <c r="W240" s="18"/>
      <c r="X240" s="18"/>
      <c r="Y240" s="18"/>
      <c r="Z240" s="18"/>
    </row>
    <row r="241" ht="22.5" customHeight="1">
      <c r="A241" s="28" t="s">
        <v>430</v>
      </c>
      <c r="B241" s="29" t="s">
        <v>36</v>
      </c>
      <c r="C241" s="31">
        <v>3.0</v>
      </c>
      <c r="D241" s="32">
        <v>0.0</v>
      </c>
      <c r="E241" s="43"/>
      <c r="F241" s="18"/>
      <c r="G241" s="18"/>
      <c r="H241" s="18"/>
      <c r="I241" s="18"/>
      <c r="J241" s="18"/>
      <c r="K241" s="18"/>
      <c r="L241" s="18"/>
      <c r="M241" s="18"/>
      <c r="N241" s="18"/>
      <c r="O241" s="18"/>
      <c r="P241" s="18"/>
      <c r="Q241" s="18"/>
      <c r="R241" s="18"/>
      <c r="S241" s="18"/>
      <c r="T241" s="18"/>
      <c r="U241" s="18"/>
      <c r="V241" s="18"/>
      <c r="W241" s="18"/>
      <c r="X241" s="18"/>
      <c r="Y241" s="18"/>
      <c r="Z241" s="18"/>
    </row>
    <row r="242" ht="22.5" customHeight="1">
      <c r="A242" s="22" t="s">
        <v>431</v>
      </c>
      <c r="B242" s="23" t="s">
        <v>36</v>
      </c>
      <c r="C242" s="24">
        <v>3.0</v>
      </c>
      <c r="D242" s="25">
        <v>0.0</v>
      </c>
      <c r="E242" s="45"/>
      <c r="F242" s="18"/>
      <c r="G242" s="18"/>
      <c r="H242" s="18"/>
      <c r="I242" s="18"/>
      <c r="J242" s="18"/>
      <c r="K242" s="18"/>
      <c r="L242" s="18"/>
      <c r="M242" s="18"/>
      <c r="N242" s="18"/>
      <c r="O242" s="18"/>
      <c r="P242" s="18"/>
      <c r="Q242" s="18"/>
      <c r="R242" s="18"/>
      <c r="S242" s="18"/>
      <c r="T242" s="18"/>
      <c r="U242" s="18"/>
      <c r="V242" s="18"/>
      <c r="W242" s="18"/>
      <c r="X242" s="18"/>
      <c r="Y242" s="18"/>
      <c r="Z242" s="18"/>
    </row>
    <row r="243" ht="22.5" customHeight="1">
      <c r="A243" s="28" t="s">
        <v>432</v>
      </c>
      <c r="B243" s="29" t="s">
        <v>36</v>
      </c>
      <c r="C243" s="31">
        <v>3.0</v>
      </c>
      <c r="D243" s="32">
        <v>0.0</v>
      </c>
      <c r="E243" s="43"/>
      <c r="F243" s="18"/>
      <c r="G243" s="18"/>
      <c r="H243" s="18"/>
      <c r="I243" s="18"/>
      <c r="J243" s="18"/>
      <c r="K243" s="18"/>
      <c r="L243" s="18"/>
      <c r="M243" s="18"/>
      <c r="N243" s="18"/>
      <c r="O243" s="18"/>
      <c r="P243" s="18"/>
      <c r="Q243" s="18"/>
      <c r="R243" s="18"/>
      <c r="S243" s="18"/>
      <c r="T243" s="18"/>
      <c r="U243" s="18"/>
      <c r="V243" s="18"/>
      <c r="W243" s="18"/>
      <c r="X243" s="18"/>
      <c r="Y243" s="18"/>
      <c r="Z243" s="18"/>
    </row>
    <row r="244" ht="22.5" customHeight="1">
      <c r="A244" s="22" t="s">
        <v>433</v>
      </c>
      <c r="B244" s="23" t="s">
        <v>36</v>
      </c>
      <c r="C244" s="24">
        <v>3.0</v>
      </c>
      <c r="D244" s="25">
        <v>0.0</v>
      </c>
      <c r="E244" s="45"/>
      <c r="F244" s="18"/>
      <c r="G244" s="18"/>
      <c r="H244" s="18"/>
      <c r="I244" s="18"/>
      <c r="J244" s="18"/>
      <c r="K244" s="18"/>
      <c r="L244" s="18"/>
      <c r="M244" s="18"/>
      <c r="N244" s="18"/>
      <c r="O244" s="18"/>
      <c r="P244" s="18"/>
      <c r="Q244" s="18"/>
      <c r="R244" s="18"/>
      <c r="S244" s="18"/>
      <c r="T244" s="18"/>
      <c r="U244" s="18"/>
      <c r="V244" s="18"/>
      <c r="W244" s="18"/>
      <c r="X244" s="18"/>
      <c r="Y244" s="18"/>
      <c r="Z244" s="18"/>
    </row>
    <row r="245" ht="22.5" customHeight="1">
      <c r="A245" s="28" t="s">
        <v>435</v>
      </c>
      <c r="B245" s="29" t="s">
        <v>36</v>
      </c>
      <c r="C245" s="31">
        <v>3.0</v>
      </c>
      <c r="D245" s="32">
        <v>0.0</v>
      </c>
      <c r="E245" s="43"/>
      <c r="F245" s="18"/>
      <c r="G245" s="18"/>
      <c r="H245" s="18"/>
      <c r="I245" s="18"/>
      <c r="J245" s="18"/>
      <c r="K245" s="18"/>
      <c r="L245" s="18"/>
      <c r="M245" s="18"/>
      <c r="N245" s="18"/>
      <c r="O245" s="18"/>
      <c r="P245" s="18"/>
      <c r="Q245" s="18"/>
      <c r="R245" s="18"/>
      <c r="S245" s="18"/>
      <c r="T245" s="18"/>
      <c r="U245" s="18"/>
      <c r="V245" s="18"/>
      <c r="W245" s="18"/>
      <c r="X245" s="18"/>
      <c r="Y245" s="18"/>
      <c r="Z245" s="18"/>
    </row>
    <row r="246" ht="22.5" customHeight="1">
      <c r="A246" s="22" t="s">
        <v>436</v>
      </c>
      <c r="B246" s="23" t="s">
        <v>36</v>
      </c>
      <c r="C246" s="24">
        <v>3.0</v>
      </c>
      <c r="D246" s="25">
        <v>0.0</v>
      </c>
      <c r="E246" s="45"/>
      <c r="F246" s="18"/>
      <c r="G246" s="18"/>
      <c r="H246" s="18"/>
      <c r="I246" s="18"/>
      <c r="J246" s="18"/>
      <c r="K246" s="18"/>
      <c r="L246" s="18"/>
      <c r="M246" s="18"/>
      <c r="N246" s="18"/>
      <c r="O246" s="18"/>
      <c r="P246" s="18"/>
      <c r="Q246" s="18"/>
      <c r="R246" s="18"/>
      <c r="S246" s="18"/>
      <c r="T246" s="18"/>
      <c r="U246" s="18"/>
      <c r="V246" s="18"/>
      <c r="W246" s="18"/>
      <c r="X246" s="18"/>
      <c r="Y246" s="18"/>
      <c r="Z246" s="18"/>
    </row>
    <row r="247" ht="22.5" customHeight="1">
      <c r="A247" s="28" t="s">
        <v>437</v>
      </c>
      <c r="B247" s="29" t="s">
        <v>36</v>
      </c>
      <c r="C247" s="31">
        <v>3.0</v>
      </c>
      <c r="D247" s="32">
        <v>0.0</v>
      </c>
      <c r="E247" s="43"/>
      <c r="F247" s="18"/>
      <c r="G247" s="18"/>
      <c r="H247" s="18"/>
      <c r="I247" s="18"/>
      <c r="J247" s="18"/>
      <c r="K247" s="18"/>
      <c r="L247" s="18"/>
      <c r="M247" s="18"/>
      <c r="N247" s="18"/>
      <c r="O247" s="18"/>
      <c r="P247" s="18"/>
      <c r="Q247" s="18"/>
      <c r="R247" s="18"/>
      <c r="S247" s="18"/>
      <c r="T247" s="18"/>
      <c r="U247" s="18"/>
      <c r="V247" s="18"/>
      <c r="W247" s="18"/>
      <c r="X247" s="18"/>
      <c r="Y247" s="18"/>
      <c r="Z247" s="18"/>
    </row>
    <row r="248" ht="22.5" customHeight="1">
      <c r="A248" s="22" t="s">
        <v>438</v>
      </c>
      <c r="B248" s="23" t="s">
        <v>36</v>
      </c>
      <c r="C248" s="24">
        <v>3.0</v>
      </c>
      <c r="D248" s="25">
        <v>0.0</v>
      </c>
      <c r="E248" s="45"/>
      <c r="F248" s="18"/>
      <c r="G248" s="18"/>
      <c r="H248" s="18"/>
      <c r="I248" s="18"/>
      <c r="J248" s="18"/>
      <c r="K248" s="18"/>
      <c r="L248" s="18"/>
      <c r="M248" s="18"/>
      <c r="N248" s="18"/>
      <c r="O248" s="18"/>
      <c r="P248" s="18"/>
      <c r="Q248" s="18"/>
      <c r="R248" s="18"/>
      <c r="S248" s="18"/>
      <c r="T248" s="18"/>
      <c r="U248" s="18"/>
      <c r="V248" s="18"/>
      <c r="W248" s="18"/>
      <c r="X248" s="18"/>
      <c r="Y248" s="18"/>
      <c r="Z248" s="18"/>
    </row>
    <row r="249" ht="22.5" customHeight="1">
      <c r="A249" s="28" t="s">
        <v>411</v>
      </c>
      <c r="B249" s="29" t="s">
        <v>88</v>
      </c>
      <c r="C249" s="31">
        <v>3.0</v>
      </c>
      <c r="D249" s="32">
        <v>0.0</v>
      </c>
      <c r="E249" s="43"/>
      <c r="F249" s="18"/>
      <c r="G249" s="18"/>
      <c r="H249" s="18"/>
      <c r="I249" s="18"/>
      <c r="J249" s="18"/>
      <c r="K249" s="18"/>
      <c r="L249" s="18"/>
      <c r="M249" s="18"/>
      <c r="N249" s="18"/>
      <c r="O249" s="18"/>
      <c r="P249" s="18"/>
      <c r="Q249" s="18"/>
      <c r="R249" s="18"/>
      <c r="S249" s="18"/>
      <c r="T249" s="18"/>
      <c r="U249" s="18"/>
      <c r="V249" s="18"/>
      <c r="W249" s="18"/>
      <c r="X249" s="18"/>
      <c r="Y249" s="18"/>
      <c r="Z249" s="18"/>
    </row>
    <row r="250" ht="22.5" customHeight="1">
      <c r="A250" s="22" t="s">
        <v>441</v>
      </c>
      <c r="B250" s="23" t="s">
        <v>36</v>
      </c>
      <c r="C250" s="24">
        <v>3.0</v>
      </c>
      <c r="D250" s="25">
        <v>0.0</v>
      </c>
      <c r="E250" s="45"/>
      <c r="F250" s="18"/>
      <c r="G250" s="18"/>
      <c r="H250" s="18"/>
      <c r="I250" s="18"/>
      <c r="J250" s="18"/>
      <c r="K250" s="18"/>
      <c r="L250" s="18"/>
      <c r="M250" s="18"/>
      <c r="N250" s="18"/>
      <c r="O250" s="18"/>
      <c r="P250" s="18"/>
      <c r="Q250" s="18"/>
      <c r="R250" s="18"/>
      <c r="S250" s="18"/>
      <c r="T250" s="18"/>
      <c r="U250" s="18"/>
      <c r="V250" s="18"/>
      <c r="W250" s="18"/>
      <c r="X250" s="18"/>
      <c r="Y250" s="18"/>
      <c r="Z250" s="18"/>
    </row>
    <row r="251" ht="22.5" customHeight="1">
      <c r="A251" s="28" t="s">
        <v>442</v>
      </c>
      <c r="B251" s="29" t="s">
        <v>36</v>
      </c>
      <c r="C251" s="31">
        <v>3.0</v>
      </c>
      <c r="D251" s="32">
        <v>0.0</v>
      </c>
      <c r="E251" s="43"/>
      <c r="F251" s="18"/>
      <c r="G251" s="18"/>
      <c r="H251" s="18"/>
      <c r="I251" s="18"/>
      <c r="J251" s="18"/>
      <c r="K251" s="18"/>
      <c r="L251" s="18"/>
      <c r="M251" s="18"/>
      <c r="N251" s="18"/>
      <c r="O251" s="18"/>
      <c r="P251" s="18"/>
      <c r="Q251" s="18"/>
      <c r="R251" s="18"/>
      <c r="S251" s="18"/>
      <c r="T251" s="18"/>
      <c r="U251" s="18"/>
      <c r="V251" s="18"/>
      <c r="W251" s="18"/>
      <c r="X251" s="18"/>
      <c r="Y251" s="18"/>
      <c r="Z251" s="18"/>
    </row>
    <row r="252" ht="22.5" customHeight="1">
      <c r="A252" s="22" t="s">
        <v>443</v>
      </c>
      <c r="B252" s="23" t="s">
        <v>36</v>
      </c>
      <c r="C252" s="24">
        <v>3.0</v>
      </c>
      <c r="D252" s="25">
        <v>0.0</v>
      </c>
      <c r="E252" s="45"/>
      <c r="F252" s="18"/>
      <c r="G252" s="18"/>
      <c r="H252" s="18"/>
      <c r="I252" s="18"/>
      <c r="J252" s="18"/>
      <c r="K252" s="18"/>
      <c r="L252" s="18"/>
      <c r="M252" s="18"/>
      <c r="N252" s="18"/>
      <c r="O252" s="18"/>
      <c r="P252" s="18"/>
      <c r="Q252" s="18"/>
      <c r="R252" s="18"/>
      <c r="S252" s="18"/>
      <c r="T252" s="18"/>
      <c r="U252" s="18"/>
      <c r="V252" s="18"/>
      <c r="W252" s="18"/>
      <c r="X252" s="18"/>
      <c r="Y252" s="18"/>
      <c r="Z252" s="18"/>
    </row>
    <row r="253" ht="22.5" customHeight="1">
      <c r="A253" s="28" t="s">
        <v>444</v>
      </c>
      <c r="B253" s="29" t="s">
        <v>88</v>
      </c>
      <c r="C253" s="31">
        <v>3.0</v>
      </c>
      <c r="D253" s="32">
        <v>0.0</v>
      </c>
      <c r="E253" s="43"/>
      <c r="F253" s="18"/>
      <c r="G253" s="18"/>
      <c r="H253" s="18"/>
      <c r="I253" s="18"/>
      <c r="J253" s="18"/>
      <c r="K253" s="18"/>
      <c r="L253" s="18"/>
      <c r="M253" s="18"/>
      <c r="N253" s="18"/>
      <c r="O253" s="18"/>
      <c r="P253" s="18"/>
      <c r="Q253" s="18"/>
      <c r="R253" s="18"/>
      <c r="S253" s="18"/>
      <c r="T253" s="18"/>
      <c r="U253" s="18"/>
      <c r="V253" s="18"/>
      <c r="W253" s="18"/>
      <c r="X253" s="18"/>
      <c r="Y253" s="18"/>
      <c r="Z253" s="18"/>
    </row>
    <row r="254" ht="22.5" customHeight="1">
      <c r="A254" s="22" t="s">
        <v>445</v>
      </c>
      <c r="B254" s="23" t="s">
        <v>88</v>
      </c>
      <c r="C254" s="24">
        <v>3.0</v>
      </c>
      <c r="D254" s="25">
        <v>0.0</v>
      </c>
      <c r="E254" s="45"/>
      <c r="F254" s="18"/>
      <c r="G254" s="18"/>
      <c r="H254" s="18"/>
      <c r="I254" s="18"/>
      <c r="J254" s="18"/>
      <c r="K254" s="18"/>
      <c r="L254" s="18"/>
      <c r="M254" s="18"/>
      <c r="N254" s="18"/>
      <c r="O254" s="18"/>
      <c r="P254" s="18"/>
      <c r="Q254" s="18"/>
      <c r="R254" s="18"/>
      <c r="S254" s="18"/>
      <c r="T254" s="18"/>
      <c r="U254" s="18"/>
      <c r="V254" s="18"/>
      <c r="W254" s="18"/>
      <c r="X254" s="18"/>
      <c r="Y254" s="18"/>
      <c r="Z254" s="18"/>
    </row>
    <row r="255" ht="22.5" customHeight="1">
      <c r="A255" s="28" t="s">
        <v>449</v>
      </c>
      <c r="B255" s="29" t="s">
        <v>88</v>
      </c>
      <c r="C255" s="31">
        <v>3.0</v>
      </c>
      <c r="D255" s="32">
        <v>0.0</v>
      </c>
      <c r="E255" s="43"/>
      <c r="F255" s="18"/>
      <c r="G255" s="18"/>
      <c r="H255" s="18"/>
      <c r="I255" s="18"/>
      <c r="J255" s="18"/>
      <c r="K255" s="18"/>
      <c r="L255" s="18"/>
      <c r="M255" s="18"/>
      <c r="N255" s="18"/>
      <c r="O255" s="18"/>
      <c r="P255" s="18"/>
      <c r="Q255" s="18"/>
      <c r="R255" s="18"/>
      <c r="S255" s="18"/>
      <c r="T255" s="18"/>
      <c r="U255" s="18"/>
      <c r="V255" s="18"/>
      <c r="W255" s="18"/>
      <c r="X255" s="18"/>
      <c r="Y255" s="18"/>
      <c r="Z255" s="18"/>
    </row>
    <row r="256" ht="22.5" customHeight="1">
      <c r="A256" s="22" t="s">
        <v>91</v>
      </c>
      <c r="B256" s="23" t="s">
        <v>88</v>
      </c>
      <c r="C256" s="24">
        <v>3.0</v>
      </c>
      <c r="D256" s="25">
        <v>0.0</v>
      </c>
      <c r="E256" s="45"/>
      <c r="F256" s="18"/>
      <c r="G256" s="18"/>
      <c r="H256" s="18"/>
      <c r="I256" s="18"/>
      <c r="J256" s="18"/>
      <c r="K256" s="18"/>
      <c r="L256" s="18"/>
      <c r="M256" s="18"/>
      <c r="N256" s="18"/>
      <c r="O256" s="18"/>
      <c r="P256" s="18"/>
      <c r="Q256" s="18"/>
      <c r="R256" s="18"/>
      <c r="S256" s="18"/>
      <c r="T256" s="18"/>
      <c r="U256" s="18"/>
      <c r="V256" s="18"/>
      <c r="W256" s="18"/>
      <c r="X256" s="18"/>
      <c r="Y256" s="18"/>
      <c r="Z256" s="18"/>
    </row>
    <row r="257" ht="22.5" customHeight="1">
      <c r="A257" s="28" t="s">
        <v>450</v>
      </c>
      <c r="B257" s="29" t="s">
        <v>88</v>
      </c>
      <c r="C257" s="31">
        <v>3.0</v>
      </c>
      <c r="D257" s="32">
        <v>0.0</v>
      </c>
      <c r="E257" s="43"/>
      <c r="F257" s="18"/>
      <c r="G257" s="18"/>
      <c r="H257" s="18"/>
      <c r="I257" s="18"/>
      <c r="J257" s="18"/>
      <c r="K257" s="18"/>
      <c r="L257" s="18"/>
      <c r="M257" s="18"/>
      <c r="N257" s="18"/>
      <c r="O257" s="18"/>
      <c r="P257" s="18"/>
      <c r="Q257" s="18"/>
      <c r="R257" s="18"/>
      <c r="S257" s="18"/>
      <c r="T257" s="18"/>
      <c r="U257" s="18"/>
      <c r="V257" s="18"/>
      <c r="W257" s="18"/>
      <c r="X257" s="18"/>
      <c r="Y257" s="18"/>
      <c r="Z257" s="18"/>
    </row>
    <row r="258" ht="22.5" customHeight="1">
      <c r="A258" s="22" t="s">
        <v>451</v>
      </c>
      <c r="B258" s="23" t="s">
        <v>88</v>
      </c>
      <c r="C258" s="24">
        <v>3.0</v>
      </c>
      <c r="D258" s="25">
        <v>0.0</v>
      </c>
      <c r="E258" s="45"/>
      <c r="F258" s="18"/>
      <c r="G258" s="18"/>
      <c r="H258" s="18"/>
      <c r="I258" s="18"/>
      <c r="J258" s="18"/>
      <c r="K258" s="18"/>
      <c r="L258" s="18"/>
      <c r="M258" s="18"/>
      <c r="N258" s="18"/>
      <c r="O258" s="18"/>
      <c r="P258" s="18"/>
      <c r="Q258" s="18"/>
      <c r="R258" s="18"/>
      <c r="S258" s="18"/>
      <c r="T258" s="18"/>
      <c r="U258" s="18"/>
      <c r="V258" s="18"/>
      <c r="W258" s="18"/>
      <c r="X258" s="18"/>
      <c r="Y258" s="18"/>
      <c r="Z258" s="18"/>
    </row>
    <row r="259" ht="22.5" customHeight="1">
      <c r="A259" s="28" t="s">
        <v>455</v>
      </c>
      <c r="B259" s="29" t="s">
        <v>88</v>
      </c>
      <c r="C259" s="31">
        <v>3.0</v>
      </c>
      <c r="D259" s="32">
        <v>0.0</v>
      </c>
      <c r="E259" s="43"/>
      <c r="F259" s="18"/>
      <c r="G259" s="18"/>
      <c r="H259" s="18"/>
      <c r="I259" s="18"/>
      <c r="J259" s="18"/>
      <c r="K259" s="18"/>
      <c r="L259" s="18"/>
      <c r="M259" s="18"/>
      <c r="N259" s="18"/>
      <c r="O259" s="18"/>
      <c r="P259" s="18"/>
      <c r="Q259" s="18"/>
      <c r="R259" s="18"/>
      <c r="S259" s="18"/>
      <c r="T259" s="18"/>
      <c r="U259" s="18"/>
      <c r="V259" s="18"/>
      <c r="W259" s="18"/>
      <c r="X259" s="18"/>
      <c r="Y259" s="18"/>
      <c r="Z259" s="18"/>
    </row>
    <row r="260" ht="22.5" customHeight="1">
      <c r="A260" s="22" t="s">
        <v>457</v>
      </c>
      <c r="B260" s="23" t="s">
        <v>88</v>
      </c>
      <c r="C260" s="24">
        <v>3.0</v>
      </c>
      <c r="D260" s="25">
        <v>0.0</v>
      </c>
      <c r="E260" s="45"/>
      <c r="F260" s="18"/>
      <c r="G260" s="18"/>
      <c r="H260" s="18"/>
      <c r="I260" s="18"/>
      <c r="J260" s="18"/>
      <c r="K260" s="18"/>
      <c r="L260" s="18"/>
      <c r="M260" s="18"/>
      <c r="N260" s="18"/>
      <c r="O260" s="18"/>
      <c r="P260" s="18"/>
      <c r="Q260" s="18"/>
      <c r="R260" s="18"/>
      <c r="S260" s="18"/>
      <c r="T260" s="18"/>
      <c r="U260" s="18"/>
      <c r="V260" s="18"/>
      <c r="W260" s="18"/>
      <c r="X260" s="18"/>
      <c r="Y260" s="18"/>
      <c r="Z260" s="18"/>
    </row>
    <row r="261" ht="22.5" customHeight="1">
      <c r="A261" s="28" t="s">
        <v>120</v>
      </c>
      <c r="B261" s="29" t="s">
        <v>88</v>
      </c>
      <c r="C261" s="31">
        <v>3.0</v>
      </c>
      <c r="D261" s="32">
        <v>0.0</v>
      </c>
      <c r="E261" s="43"/>
      <c r="F261" s="18"/>
      <c r="G261" s="18"/>
      <c r="H261" s="18"/>
      <c r="I261" s="18"/>
      <c r="J261" s="18"/>
      <c r="K261" s="18"/>
      <c r="L261" s="18"/>
      <c r="M261" s="18"/>
      <c r="N261" s="18"/>
      <c r="O261" s="18"/>
      <c r="P261" s="18"/>
      <c r="Q261" s="18"/>
      <c r="R261" s="18"/>
      <c r="S261" s="18"/>
      <c r="T261" s="18"/>
      <c r="U261" s="18"/>
      <c r="V261" s="18"/>
      <c r="W261" s="18"/>
      <c r="X261" s="18"/>
      <c r="Y261" s="18"/>
      <c r="Z261" s="18"/>
    </row>
    <row r="262" ht="22.5" customHeight="1">
      <c r="A262" s="22" t="s">
        <v>458</v>
      </c>
      <c r="B262" s="23" t="s">
        <v>88</v>
      </c>
      <c r="C262" s="24">
        <v>3.0</v>
      </c>
      <c r="D262" s="25">
        <v>0.0</v>
      </c>
      <c r="E262" s="45"/>
      <c r="F262" s="18"/>
      <c r="G262" s="18"/>
      <c r="H262" s="18"/>
      <c r="I262" s="18"/>
      <c r="J262" s="18"/>
      <c r="K262" s="18"/>
      <c r="L262" s="18"/>
      <c r="M262" s="18"/>
      <c r="N262" s="18"/>
      <c r="O262" s="18"/>
      <c r="P262" s="18"/>
      <c r="Q262" s="18"/>
      <c r="R262" s="18"/>
      <c r="S262" s="18"/>
      <c r="T262" s="18"/>
      <c r="U262" s="18"/>
      <c r="V262" s="18"/>
      <c r="W262" s="18"/>
      <c r="X262" s="18"/>
      <c r="Y262" s="18"/>
      <c r="Z262" s="18"/>
    </row>
    <row r="263" ht="22.5" customHeight="1">
      <c r="A263" s="28" t="s">
        <v>462</v>
      </c>
      <c r="B263" s="29" t="s">
        <v>88</v>
      </c>
      <c r="C263" s="31">
        <v>3.0</v>
      </c>
      <c r="D263" s="32">
        <v>0.0</v>
      </c>
      <c r="E263" s="43"/>
      <c r="F263" s="18"/>
      <c r="G263" s="18"/>
      <c r="H263" s="18"/>
      <c r="I263" s="18"/>
      <c r="J263" s="18"/>
      <c r="K263" s="18"/>
      <c r="L263" s="18"/>
      <c r="M263" s="18"/>
      <c r="N263" s="18"/>
      <c r="O263" s="18"/>
      <c r="P263" s="18"/>
      <c r="Q263" s="18"/>
      <c r="R263" s="18"/>
      <c r="S263" s="18"/>
      <c r="T263" s="18"/>
      <c r="U263" s="18"/>
      <c r="V263" s="18"/>
      <c r="W263" s="18"/>
      <c r="X263" s="18"/>
      <c r="Y263" s="18"/>
      <c r="Z263" s="18"/>
    </row>
    <row r="264" ht="22.5" customHeight="1">
      <c r="A264" s="22" t="s">
        <v>463</v>
      </c>
      <c r="B264" s="23" t="s">
        <v>88</v>
      </c>
      <c r="C264" s="24">
        <v>3.0</v>
      </c>
      <c r="D264" s="25">
        <v>0.0</v>
      </c>
      <c r="E264" s="45"/>
      <c r="F264" s="18"/>
      <c r="G264" s="18"/>
      <c r="H264" s="18"/>
      <c r="I264" s="18"/>
      <c r="J264" s="18"/>
      <c r="K264" s="18"/>
      <c r="L264" s="18"/>
      <c r="M264" s="18"/>
      <c r="N264" s="18"/>
      <c r="O264" s="18"/>
      <c r="P264" s="18"/>
      <c r="Q264" s="18"/>
      <c r="R264" s="18"/>
      <c r="S264" s="18"/>
      <c r="T264" s="18"/>
      <c r="U264" s="18"/>
      <c r="V264" s="18"/>
      <c r="W264" s="18"/>
      <c r="X264" s="18"/>
      <c r="Y264" s="18"/>
      <c r="Z264" s="18"/>
    </row>
    <row r="265" ht="22.5" customHeight="1">
      <c r="A265" s="28" t="s">
        <v>464</v>
      </c>
      <c r="B265" s="29" t="s">
        <v>88</v>
      </c>
      <c r="C265" s="31">
        <v>3.0</v>
      </c>
      <c r="D265" s="32">
        <v>0.0</v>
      </c>
      <c r="E265" s="43"/>
      <c r="F265" s="18"/>
      <c r="G265" s="18"/>
      <c r="H265" s="18"/>
      <c r="I265" s="18"/>
      <c r="J265" s="18"/>
      <c r="K265" s="18"/>
      <c r="L265" s="18"/>
      <c r="M265" s="18"/>
      <c r="N265" s="18"/>
      <c r="O265" s="18"/>
      <c r="P265" s="18"/>
      <c r="Q265" s="18"/>
      <c r="R265" s="18"/>
      <c r="S265" s="18"/>
      <c r="T265" s="18"/>
      <c r="U265" s="18"/>
      <c r="V265" s="18"/>
      <c r="W265" s="18"/>
      <c r="X265" s="18"/>
      <c r="Y265" s="18"/>
      <c r="Z265" s="18"/>
    </row>
    <row r="266" ht="22.5" customHeight="1">
      <c r="A266" s="22" t="s">
        <v>465</v>
      </c>
      <c r="B266" s="23" t="s">
        <v>88</v>
      </c>
      <c r="C266" s="24">
        <v>3.0</v>
      </c>
      <c r="D266" s="25">
        <v>0.0</v>
      </c>
      <c r="E266" s="45"/>
      <c r="F266" s="18"/>
      <c r="G266" s="18"/>
      <c r="H266" s="18"/>
      <c r="I266" s="18"/>
      <c r="J266" s="18"/>
      <c r="K266" s="18"/>
      <c r="L266" s="18"/>
      <c r="M266" s="18"/>
      <c r="N266" s="18"/>
      <c r="O266" s="18"/>
      <c r="P266" s="18"/>
      <c r="Q266" s="18"/>
      <c r="R266" s="18"/>
      <c r="S266" s="18"/>
      <c r="T266" s="18"/>
      <c r="U266" s="18"/>
      <c r="V266" s="18"/>
      <c r="W266" s="18"/>
      <c r="X266" s="18"/>
      <c r="Y266" s="18"/>
      <c r="Z266" s="18"/>
    </row>
    <row r="267" ht="22.5" customHeight="1">
      <c r="A267" s="28" t="s">
        <v>469</v>
      </c>
      <c r="B267" s="29" t="s">
        <v>88</v>
      </c>
      <c r="C267" s="31">
        <v>3.0</v>
      </c>
      <c r="D267" s="32">
        <v>0.0</v>
      </c>
      <c r="E267" s="43"/>
      <c r="F267" s="18"/>
      <c r="G267" s="18"/>
      <c r="H267" s="18"/>
      <c r="I267" s="18"/>
      <c r="J267" s="18"/>
      <c r="K267" s="18"/>
      <c r="L267" s="18"/>
      <c r="M267" s="18"/>
      <c r="N267" s="18"/>
      <c r="O267" s="18"/>
      <c r="P267" s="18"/>
      <c r="Q267" s="18"/>
      <c r="R267" s="18"/>
      <c r="S267" s="18"/>
      <c r="T267" s="18"/>
      <c r="U267" s="18"/>
      <c r="V267" s="18"/>
      <c r="W267" s="18"/>
      <c r="X267" s="18"/>
      <c r="Y267" s="18"/>
      <c r="Z267" s="18"/>
    </row>
    <row r="268" ht="22.5" customHeight="1">
      <c r="A268" s="22" t="s">
        <v>470</v>
      </c>
      <c r="B268" s="23" t="s">
        <v>88</v>
      </c>
      <c r="C268" s="24">
        <v>3.0</v>
      </c>
      <c r="D268" s="25">
        <v>0.0</v>
      </c>
      <c r="E268" s="45"/>
      <c r="F268" s="18"/>
      <c r="G268" s="18"/>
      <c r="H268" s="18"/>
      <c r="I268" s="18"/>
      <c r="J268" s="18"/>
      <c r="K268" s="18"/>
      <c r="L268" s="18"/>
      <c r="M268" s="18"/>
      <c r="N268" s="18"/>
      <c r="O268" s="18"/>
      <c r="P268" s="18"/>
      <c r="Q268" s="18"/>
      <c r="R268" s="18"/>
      <c r="S268" s="18"/>
      <c r="T268" s="18"/>
      <c r="U268" s="18"/>
      <c r="V268" s="18"/>
      <c r="W268" s="18"/>
      <c r="X268" s="18"/>
      <c r="Y268" s="18"/>
      <c r="Z268" s="18"/>
    </row>
    <row r="269" ht="22.5" customHeight="1">
      <c r="A269" s="28" t="s">
        <v>471</v>
      </c>
      <c r="B269" s="29" t="s">
        <v>88</v>
      </c>
      <c r="C269" s="31">
        <v>3.0</v>
      </c>
      <c r="D269" s="32">
        <v>0.0</v>
      </c>
      <c r="E269" s="43"/>
      <c r="F269" s="18"/>
      <c r="G269" s="18"/>
      <c r="H269" s="18"/>
      <c r="I269" s="18"/>
      <c r="J269" s="18"/>
      <c r="K269" s="18"/>
      <c r="L269" s="18"/>
      <c r="M269" s="18"/>
      <c r="N269" s="18"/>
      <c r="O269" s="18"/>
      <c r="P269" s="18"/>
      <c r="Q269" s="18"/>
      <c r="R269" s="18"/>
      <c r="S269" s="18"/>
      <c r="T269" s="18"/>
      <c r="U269" s="18"/>
      <c r="V269" s="18"/>
      <c r="W269" s="18"/>
      <c r="X269" s="18"/>
      <c r="Y269" s="18"/>
      <c r="Z269" s="18"/>
    </row>
    <row r="270" ht="22.5" customHeight="1">
      <c r="A270" s="22" t="s">
        <v>476</v>
      </c>
      <c r="B270" s="23" t="s">
        <v>88</v>
      </c>
      <c r="C270" s="24">
        <v>3.0</v>
      </c>
      <c r="D270" s="25">
        <v>0.0</v>
      </c>
      <c r="E270" s="45"/>
      <c r="F270" s="18"/>
      <c r="G270" s="18"/>
      <c r="H270" s="18"/>
      <c r="I270" s="18"/>
      <c r="J270" s="18"/>
      <c r="K270" s="18"/>
      <c r="L270" s="18"/>
      <c r="M270" s="18"/>
      <c r="N270" s="18"/>
      <c r="O270" s="18"/>
      <c r="P270" s="18"/>
      <c r="Q270" s="18"/>
      <c r="R270" s="18"/>
      <c r="S270" s="18"/>
      <c r="T270" s="18"/>
      <c r="U270" s="18"/>
      <c r="V270" s="18"/>
      <c r="W270" s="18"/>
      <c r="X270" s="18"/>
      <c r="Y270" s="18"/>
      <c r="Z270" s="18"/>
    </row>
    <row r="271" ht="22.5" customHeight="1">
      <c r="A271" s="28" t="s">
        <v>477</v>
      </c>
      <c r="B271" s="29" t="s">
        <v>88</v>
      </c>
      <c r="C271" s="31">
        <v>3.0</v>
      </c>
      <c r="D271" s="32">
        <v>0.0</v>
      </c>
      <c r="E271" s="43"/>
      <c r="F271" s="18"/>
      <c r="G271" s="18"/>
      <c r="H271" s="18"/>
      <c r="I271" s="18"/>
      <c r="J271" s="18"/>
      <c r="K271" s="18"/>
      <c r="L271" s="18"/>
      <c r="M271" s="18"/>
      <c r="N271" s="18"/>
      <c r="O271" s="18"/>
      <c r="P271" s="18"/>
      <c r="Q271" s="18"/>
      <c r="R271" s="18"/>
      <c r="S271" s="18"/>
      <c r="T271" s="18"/>
      <c r="U271" s="18"/>
      <c r="V271" s="18"/>
      <c r="W271" s="18"/>
      <c r="X271" s="18"/>
      <c r="Y271" s="18"/>
      <c r="Z271" s="18"/>
    </row>
    <row r="272" ht="22.5" customHeight="1">
      <c r="A272" s="22" t="s">
        <v>478</v>
      </c>
      <c r="B272" s="23" t="s">
        <v>88</v>
      </c>
      <c r="C272" s="24">
        <v>3.0</v>
      </c>
      <c r="D272" s="25">
        <v>0.0</v>
      </c>
      <c r="E272" s="45"/>
      <c r="F272" s="18"/>
      <c r="G272" s="18"/>
      <c r="H272" s="18"/>
      <c r="I272" s="18"/>
      <c r="J272" s="18"/>
      <c r="K272" s="18"/>
      <c r="L272" s="18"/>
      <c r="M272" s="18"/>
      <c r="N272" s="18"/>
      <c r="O272" s="18"/>
      <c r="P272" s="18"/>
      <c r="Q272" s="18"/>
      <c r="R272" s="18"/>
      <c r="S272" s="18"/>
      <c r="T272" s="18"/>
      <c r="U272" s="18"/>
      <c r="V272" s="18"/>
      <c r="W272" s="18"/>
      <c r="X272" s="18"/>
      <c r="Y272" s="18"/>
      <c r="Z272" s="18"/>
    </row>
    <row r="273" ht="22.5" customHeight="1">
      <c r="A273" s="28" t="s">
        <v>149</v>
      </c>
      <c r="B273" s="29" t="s">
        <v>88</v>
      </c>
      <c r="C273" s="31">
        <v>3.0</v>
      </c>
      <c r="D273" s="32">
        <v>0.0</v>
      </c>
      <c r="E273" s="43"/>
      <c r="F273" s="18"/>
      <c r="G273" s="18"/>
      <c r="H273" s="18"/>
      <c r="I273" s="18"/>
      <c r="J273" s="18"/>
      <c r="K273" s="18"/>
      <c r="L273" s="18"/>
      <c r="M273" s="18"/>
      <c r="N273" s="18"/>
      <c r="O273" s="18"/>
      <c r="P273" s="18"/>
      <c r="Q273" s="18"/>
      <c r="R273" s="18"/>
      <c r="S273" s="18"/>
      <c r="T273" s="18"/>
      <c r="U273" s="18"/>
      <c r="V273" s="18"/>
      <c r="W273" s="18"/>
      <c r="X273" s="18"/>
      <c r="Y273" s="18"/>
      <c r="Z273" s="18"/>
    </row>
    <row r="274" ht="22.5" customHeight="1">
      <c r="A274" s="22" t="s">
        <v>482</v>
      </c>
      <c r="B274" s="23" t="s">
        <v>88</v>
      </c>
      <c r="C274" s="24">
        <v>3.0</v>
      </c>
      <c r="D274" s="25">
        <v>0.0</v>
      </c>
      <c r="E274" s="45"/>
      <c r="F274" s="18"/>
      <c r="G274" s="18"/>
      <c r="H274" s="18"/>
      <c r="I274" s="18"/>
      <c r="J274" s="18"/>
      <c r="K274" s="18"/>
      <c r="L274" s="18"/>
      <c r="M274" s="18"/>
      <c r="N274" s="18"/>
      <c r="O274" s="18"/>
      <c r="P274" s="18"/>
      <c r="Q274" s="18"/>
      <c r="R274" s="18"/>
      <c r="S274" s="18"/>
      <c r="T274" s="18"/>
      <c r="U274" s="18"/>
      <c r="V274" s="18"/>
      <c r="W274" s="18"/>
      <c r="X274" s="18"/>
      <c r="Y274" s="18"/>
      <c r="Z274" s="18"/>
    </row>
    <row r="275" ht="22.5" customHeight="1">
      <c r="A275" s="28" t="s">
        <v>368</v>
      </c>
      <c r="B275" s="29" t="s">
        <v>88</v>
      </c>
      <c r="C275" s="31">
        <v>3.0</v>
      </c>
      <c r="D275" s="32">
        <v>0.0</v>
      </c>
      <c r="E275" s="43"/>
      <c r="F275" s="18"/>
      <c r="G275" s="18"/>
      <c r="H275" s="18"/>
      <c r="I275" s="18"/>
      <c r="J275" s="18"/>
      <c r="K275" s="18"/>
      <c r="L275" s="18"/>
      <c r="M275" s="18"/>
      <c r="N275" s="18"/>
      <c r="O275" s="18"/>
      <c r="P275" s="18"/>
      <c r="Q275" s="18"/>
      <c r="R275" s="18"/>
      <c r="S275" s="18"/>
      <c r="T275" s="18"/>
      <c r="U275" s="18"/>
      <c r="V275" s="18"/>
      <c r="W275" s="18"/>
      <c r="X275" s="18"/>
      <c r="Y275" s="18"/>
      <c r="Z275" s="18"/>
    </row>
    <row r="276" ht="22.5" customHeight="1">
      <c r="A276" s="22" t="s">
        <v>483</v>
      </c>
      <c r="B276" s="23" t="s">
        <v>88</v>
      </c>
      <c r="C276" s="24">
        <v>3.0</v>
      </c>
      <c r="D276" s="25">
        <v>0.0</v>
      </c>
      <c r="E276" s="45"/>
      <c r="F276" s="18"/>
      <c r="G276" s="18"/>
      <c r="H276" s="18"/>
      <c r="I276" s="18"/>
      <c r="J276" s="18"/>
      <c r="K276" s="18"/>
      <c r="L276" s="18"/>
      <c r="M276" s="18"/>
      <c r="N276" s="18"/>
      <c r="O276" s="18"/>
      <c r="P276" s="18"/>
      <c r="Q276" s="18"/>
      <c r="R276" s="18"/>
      <c r="S276" s="18"/>
      <c r="T276" s="18"/>
      <c r="U276" s="18"/>
      <c r="V276" s="18"/>
      <c r="W276" s="18"/>
      <c r="X276" s="18"/>
      <c r="Y276" s="18"/>
      <c r="Z276" s="18"/>
    </row>
    <row r="277" ht="22.5" customHeight="1">
      <c r="A277" s="28" t="s">
        <v>377</v>
      </c>
      <c r="B277" s="29" t="s">
        <v>88</v>
      </c>
      <c r="C277" s="31">
        <v>3.0</v>
      </c>
      <c r="D277" s="32">
        <v>0.0</v>
      </c>
      <c r="E277" s="43"/>
      <c r="F277" s="18"/>
      <c r="G277" s="18"/>
      <c r="H277" s="18"/>
      <c r="I277" s="18"/>
      <c r="J277" s="18"/>
      <c r="K277" s="18"/>
      <c r="L277" s="18"/>
      <c r="M277" s="18"/>
      <c r="N277" s="18"/>
      <c r="O277" s="18"/>
      <c r="P277" s="18"/>
      <c r="Q277" s="18"/>
      <c r="R277" s="18"/>
      <c r="S277" s="18"/>
      <c r="T277" s="18"/>
      <c r="U277" s="18"/>
      <c r="V277" s="18"/>
      <c r="W277" s="18"/>
      <c r="X277" s="18"/>
      <c r="Y277" s="18"/>
      <c r="Z277" s="18"/>
    </row>
    <row r="278" ht="22.5" customHeight="1">
      <c r="A278" s="57" t="s">
        <v>484</v>
      </c>
      <c r="B278" s="23" t="s">
        <v>88</v>
      </c>
      <c r="C278" s="24">
        <v>3.0</v>
      </c>
      <c r="D278" s="25">
        <v>0.0</v>
      </c>
      <c r="E278" s="45"/>
      <c r="F278" s="18"/>
      <c r="G278" s="18"/>
      <c r="H278" s="18"/>
      <c r="I278" s="18"/>
      <c r="J278" s="18"/>
      <c r="K278" s="18"/>
      <c r="L278" s="18"/>
      <c r="M278" s="18"/>
      <c r="N278" s="18"/>
      <c r="O278" s="18"/>
      <c r="P278" s="18"/>
      <c r="Q278" s="18"/>
      <c r="R278" s="18"/>
      <c r="S278" s="18"/>
      <c r="T278" s="18"/>
      <c r="U278" s="18"/>
      <c r="V278" s="18"/>
      <c r="W278" s="18"/>
      <c r="X278" s="18"/>
      <c r="Y278" s="18"/>
      <c r="Z278" s="18"/>
    </row>
    <row r="279" ht="22.5" customHeight="1">
      <c r="A279" s="53" t="s">
        <v>488</v>
      </c>
      <c r="B279" s="29" t="s">
        <v>88</v>
      </c>
      <c r="C279" s="31">
        <v>3.0</v>
      </c>
      <c r="D279" s="32">
        <v>0.0</v>
      </c>
      <c r="E279" s="54"/>
      <c r="F279" s="18"/>
      <c r="G279" s="18"/>
      <c r="H279" s="18"/>
      <c r="I279" s="18"/>
      <c r="J279" s="18"/>
      <c r="K279" s="18"/>
      <c r="L279" s="18"/>
      <c r="M279" s="18"/>
      <c r="N279" s="18"/>
      <c r="O279" s="18"/>
      <c r="P279" s="18"/>
      <c r="Q279" s="18"/>
      <c r="R279" s="18"/>
      <c r="S279" s="18"/>
      <c r="T279" s="18"/>
      <c r="U279" s="18"/>
      <c r="V279" s="18"/>
      <c r="W279" s="18"/>
      <c r="X279" s="18"/>
      <c r="Y279" s="18"/>
      <c r="Z279" s="18"/>
    </row>
    <row r="280" ht="22.5" customHeight="1">
      <c r="A280" s="22" t="s">
        <v>489</v>
      </c>
      <c r="B280" s="23" t="s">
        <v>36</v>
      </c>
      <c r="C280" s="24">
        <v>3.0</v>
      </c>
      <c r="D280" s="25">
        <v>0.0</v>
      </c>
      <c r="E280" s="45"/>
      <c r="F280" s="18"/>
      <c r="G280" s="18"/>
      <c r="H280" s="18"/>
      <c r="I280" s="18"/>
      <c r="J280" s="18"/>
      <c r="K280" s="18"/>
      <c r="L280" s="18"/>
      <c r="M280" s="18"/>
      <c r="N280" s="18"/>
      <c r="O280" s="18"/>
      <c r="P280" s="18"/>
      <c r="Q280" s="18"/>
      <c r="R280" s="18"/>
      <c r="S280" s="18"/>
      <c r="T280" s="18"/>
      <c r="U280" s="18"/>
      <c r="V280" s="18"/>
      <c r="W280" s="18"/>
      <c r="X280" s="18"/>
      <c r="Y280" s="18"/>
      <c r="Z280" s="18"/>
    </row>
    <row r="281" ht="22.5" customHeight="1">
      <c r="A281" s="28" t="s">
        <v>490</v>
      </c>
      <c r="B281" s="29" t="s">
        <v>36</v>
      </c>
      <c r="C281" s="31">
        <v>3.0</v>
      </c>
      <c r="D281" s="32">
        <v>0.0</v>
      </c>
      <c r="E281" s="43"/>
      <c r="F281" s="18"/>
      <c r="G281" s="18"/>
      <c r="H281" s="18"/>
      <c r="I281" s="18"/>
      <c r="J281" s="18"/>
      <c r="K281" s="18"/>
      <c r="L281" s="18"/>
      <c r="M281" s="18"/>
      <c r="N281" s="18"/>
      <c r="O281" s="18"/>
      <c r="P281" s="18"/>
      <c r="Q281" s="18"/>
      <c r="R281" s="18"/>
      <c r="S281" s="18"/>
      <c r="T281" s="18"/>
      <c r="U281" s="18"/>
      <c r="V281" s="18"/>
      <c r="W281" s="18"/>
      <c r="X281" s="18"/>
      <c r="Y281" s="18"/>
      <c r="Z281" s="18"/>
    </row>
    <row r="282" ht="22.5" customHeight="1">
      <c r="A282" s="22" t="s">
        <v>491</v>
      </c>
      <c r="B282" s="23" t="s">
        <v>36</v>
      </c>
      <c r="C282" s="24">
        <v>3.0</v>
      </c>
      <c r="D282" s="25">
        <v>0.0</v>
      </c>
      <c r="E282" s="45"/>
      <c r="F282" s="18"/>
      <c r="G282" s="18"/>
      <c r="H282" s="18"/>
      <c r="I282" s="18"/>
      <c r="J282" s="18"/>
      <c r="K282" s="18"/>
      <c r="L282" s="18"/>
      <c r="M282" s="18"/>
      <c r="N282" s="18"/>
      <c r="O282" s="18"/>
      <c r="P282" s="18"/>
      <c r="Q282" s="18"/>
      <c r="R282" s="18"/>
      <c r="S282" s="18"/>
      <c r="T282" s="18"/>
      <c r="U282" s="18"/>
      <c r="V282" s="18"/>
      <c r="W282" s="18"/>
      <c r="X282" s="18"/>
      <c r="Y282" s="18"/>
      <c r="Z282" s="18"/>
    </row>
    <row r="283" ht="22.5" customHeight="1">
      <c r="A283" s="28" t="s">
        <v>493</v>
      </c>
      <c r="B283" s="29" t="s">
        <v>36</v>
      </c>
      <c r="C283" s="31">
        <v>3.0</v>
      </c>
      <c r="D283" s="32">
        <v>0.0</v>
      </c>
      <c r="E283" s="43"/>
      <c r="F283" s="18"/>
      <c r="G283" s="18"/>
      <c r="H283" s="18"/>
      <c r="I283" s="18"/>
      <c r="J283" s="18"/>
      <c r="K283" s="18"/>
      <c r="L283" s="18"/>
      <c r="M283" s="18"/>
      <c r="N283" s="18"/>
      <c r="O283" s="18"/>
      <c r="P283" s="18"/>
      <c r="Q283" s="18"/>
      <c r="R283" s="18"/>
      <c r="S283" s="18"/>
      <c r="T283" s="18"/>
      <c r="U283" s="18"/>
      <c r="V283" s="18"/>
      <c r="W283" s="18"/>
      <c r="X283" s="18"/>
      <c r="Y283" s="18"/>
      <c r="Z283" s="18"/>
    </row>
    <row r="284" ht="22.5" customHeight="1">
      <c r="A284" s="22" t="s">
        <v>188</v>
      </c>
      <c r="B284" s="23" t="s">
        <v>36</v>
      </c>
      <c r="C284" s="24">
        <v>3.0</v>
      </c>
      <c r="D284" s="25">
        <v>0.0</v>
      </c>
      <c r="E284" s="45"/>
      <c r="F284" s="18"/>
      <c r="G284" s="18"/>
      <c r="H284" s="18"/>
      <c r="I284" s="18"/>
      <c r="J284" s="18"/>
      <c r="K284" s="18"/>
      <c r="L284" s="18"/>
      <c r="M284" s="18"/>
      <c r="N284" s="18"/>
      <c r="O284" s="18"/>
      <c r="P284" s="18"/>
      <c r="Q284" s="18"/>
      <c r="R284" s="18"/>
      <c r="S284" s="18"/>
      <c r="T284" s="18"/>
      <c r="U284" s="18"/>
      <c r="V284" s="18"/>
      <c r="W284" s="18"/>
      <c r="X284" s="18"/>
      <c r="Y284" s="18"/>
      <c r="Z284" s="18"/>
    </row>
    <row r="285" ht="22.5" customHeight="1">
      <c r="A285" s="28" t="s">
        <v>315</v>
      </c>
      <c r="B285" s="29" t="s">
        <v>36</v>
      </c>
      <c r="C285" s="31">
        <v>3.0</v>
      </c>
      <c r="D285" s="32">
        <v>0.0</v>
      </c>
      <c r="E285" s="43"/>
      <c r="F285" s="18"/>
      <c r="G285" s="18"/>
      <c r="H285" s="18"/>
      <c r="I285" s="18"/>
      <c r="J285" s="18"/>
      <c r="K285" s="18"/>
      <c r="L285" s="18"/>
      <c r="M285" s="18"/>
      <c r="N285" s="18"/>
      <c r="O285" s="18"/>
      <c r="P285" s="18"/>
      <c r="Q285" s="18"/>
      <c r="R285" s="18"/>
      <c r="S285" s="18"/>
      <c r="T285" s="18"/>
      <c r="U285" s="18"/>
      <c r="V285" s="18"/>
      <c r="W285" s="18"/>
      <c r="X285" s="18"/>
      <c r="Y285" s="18"/>
      <c r="Z285" s="18"/>
    </row>
    <row r="286" ht="22.5" customHeight="1">
      <c r="A286" s="22" t="s">
        <v>332</v>
      </c>
      <c r="B286" s="23" t="s">
        <v>36</v>
      </c>
      <c r="C286" s="24">
        <v>3.0</v>
      </c>
      <c r="D286" s="25">
        <v>0.0</v>
      </c>
      <c r="E286" s="45"/>
      <c r="F286" s="18"/>
      <c r="G286" s="18"/>
      <c r="H286" s="18"/>
      <c r="I286" s="18"/>
      <c r="J286" s="18"/>
      <c r="K286" s="18"/>
      <c r="L286" s="18"/>
      <c r="M286" s="18"/>
      <c r="N286" s="18"/>
      <c r="O286" s="18"/>
      <c r="P286" s="18"/>
      <c r="Q286" s="18"/>
      <c r="R286" s="18"/>
      <c r="S286" s="18"/>
      <c r="T286" s="18"/>
      <c r="U286" s="18"/>
      <c r="V286" s="18"/>
      <c r="W286" s="18"/>
      <c r="X286" s="18"/>
      <c r="Y286" s="18"/>
      <c r="Z286" s="18"/>
    </row>
    <row r="287" ht="22.5" customHeight="1">
      <c r="A287" s="28" t="s">
        <v>348</v>
      </c>
      <c r="B287" s="29" t="s">
        <v>36</v>
      </c>
      <c r="C287" s="31">
        <v>3.0</v>
      </c>
      <c r="D287" s="32">
        <v>0.0</v>
      </c>
      <c r="E287" s="43"/>
      <c r="F287" s="18"/>
      <c r="G287" s="18"/>
      <c r="H287" s="18"/>
      <c r="I287" s="18"/>
      <c r="J287" s="18"/>
      <c r="K287" s="18"/>
      <c r="L287" s="18"/>
      <c r="M287" s="18"/>
      <c r="N287" s="18"/>
      <c r="O287" s="18"/>
      <c r="P287" s="18"/>
      <c r="Q287" s="18"/>
      <c r="R287" s="18"/>
      <c r="S287" s="18"/>
      <c r="T287" s="18"/>
      <c r="U287" s="18"/>
      <c r="V287" s="18"/>
      <c r="W287" s="18"/>
      <c r="X287" s="18"/>
      <c r="Y287" s="18"/>
      <c r="Z287" s="18"/>
    </row>
    <row r="288" ht="22.5" customHeight="1">
      <c r="A288" s="22" t="s">
        <v>340</v>
      </c>
      <c r="B288" s="23" t="s">
        <v>36</v>
      </c>
      <c r="C288" s="24">
        <v>3.0</v>
      </c>
      <c r="D288" s="25">
        <v>0.0</v>
      </c>
      <c r="E288" s="45"/>
      <c r="F288" s="18"/>
      <c r="G288" s="18"/>
      <c r="H288" s="18"/>
      <c r="I288" s="18"/>
      <c r="J288" s="18"/>
      <c r="K288" s="18"/>
      <c r="L288" s="18"/>
      <c r="M288" s="18"/>
      <c r="N288" s="18"/>
      <c r="O288" s="18"/>
      <c r="P288" s="18"/>
      <c r="Q288" s="18"/>
      <c r="R288" s="18"/>
      <c r="S288" s="18"/>
      <c r="T288" s="18"/>
      <c r="U288" s="18"/>
      <c r="V288" s="18"/>
      <c r="W288" s="18"/>
      <c r="X288" s="18"/>
      <c r="Y288" s="18"/>
      <c r="Z288" s="18"/>
    </row>
    <row r="289" ht="22.5" customHeight="1">
      <c r="A289" s="28" t="s">
        <v>359</v>
      </c>
      <c r="B289" s="29" t="s">
        <v>36</v>
      </c>
      <c r="C289" s="31">
        <v>3.0</v>
      </c>
      <c r="D289" s="32">
        <v>0.0</v>
      </c>
      <c r="E289" s="43"/>
      <c r="F289" s="18"/>
      <c r="G289" s="18"/>
      <c r="H289" s="18"/>
      <c r="I289" s="18"/>
      <c r="J289" s="18"/>
      <c r="K289" s="18"/>
      <c r="L289" s="18"/>
      <c r="M289" s="18"/>
      <c r="N289" s="18"/>
      <c r="O289" s="18"/>
      <c r="P289" s="18"/>
      <c r="Q289" s="18"/>
      <c r="R289" s="18"/>
      <c r="S289" s="18"/>
      <c r="T289" s="18"/>
      <c r="U289" s="18"/>
      <c r="V289" s="18"/>
      <c r="W289" s="18"/>
      <c r="X289" s="18"/>
      <c r="Y289" s="18"/>
      <c r="Z289" s="18"/>
    </row>
    <row r="290" ht="22.5" customHeight="1">
      <c r="A290" s="22" t="s">
        <v>497</v>
      </c>
      <c r="B290" s="23" t="s">
        <v>36</v>
      </c>
      <c r="C290" s="24">
        <v>3.0</v>
      </c>
      <c r="D290" s="25">
        <v>0.0</v>
      </c>
      <c r="E290" s="45"/>
      <c r="F290" s="18"/>
      <c r="G290" s="18"/>
      <c r="H290" s="18"/>
      <c r="I290" s="18"/>
      <c r="J290" s="18"/>
      <c r="K290" s="18"/>
      <c r="L290" s="18"/>
      <c r="M290" s="18"/>
      <c r="N290" s="18"/>
      <c r="O290" s="18"/>
      <c r="P290" s="18"/>
      <c r="Q290" s="18"/>
      <c r="R290" s="18"/>
      <c r="S290" s="18"/>
      <c r="T290" s="18"/>
      <c r="U290" s="18"/>
      <c r="V290" s="18"/>
      <c r="W290" s="18"/>
      <c r="X290" s="18"/>
      <c r="Y290" s="18"/>
      <c r="Z290" s="18"/>
    </row>
    <row r="291" ht="22.5" customHeight="1">
      <c r="A291" s="28" t="s">
        <v>453</v>
      </c>
      <c r="B291" s="29" t="s">
        <v>36</v>
      </c>
      <c r="C291" s="31">
        <v>3.0</v>
      </c>
      <c r="D291" s="32">
        <v>0.0</v>
      </c>
      <c r="E291" s="43"/>
      <c r="F291" s="18"/>
      <c r="G291" s="18"/>
      <c r="H291" s="18"/>
      <c r="I291" s="18"/>
      <c r="J291" s="18"/>
      <c r="K291" s="18"/>
      <c r="L291" s="18"/>
      <c r="M291" s="18"/>
      <c r="N291" s="18"/>
      <c r="O291" s="18"/>
      <c r="P291" s="18"/>
      <c r="Q291" s="18"/>
      <c r="R291" s="18"/>
      <c r="S291" s="18"/>
      <c r="T291" s="18"/>
      <c r="U291" s="18"/>
      <c r="V291" s="18"/>
      <c r="W291" s="18"/>
      <c r="X291" s="18"/>
      <c r="Y291" s="18"/>
      <c r="Z291" s="18"/>
    </row>
    <row r="292" ht="22.5" customHeight="1">
      <c r="A292" s="22" t="s">
        <v>473</v>
      </c>
      <c r="B292" s="23" t="s">
        <v>36</v>
      </c>
      <c r="C292" s="24">
        <v>3.0</v>
      </c>
      <c r="D292" s="25">
        <v>0.0</v>
      </c>
      <c r="E292" s="45"/>
      <c r="F292" s="18"/>
      <c r="G292" s="18"/>
      <c r="H292" s="18"/>
      <c r="I292" s="18"/>
      <c r="J292" s="18"/>
      <c r="K292" s="18"/>
      <c r="L292" s="18"/>
      <c r="M292" s="18"/>
      <c r="N292" s="18"/>
      <c r="O292" s="18"/>
      <c r="P292" s="18"/>
      <c r="Q292" s="18"/>
      <c r="R292" s="18"/>
      <c r="S292" s="18"/>
      <c r="T292" s="18"/>
      <c r="U292" s="18"/>
      <c r="V292" s="18"/>
      <c r="W292" s="18"/>
      <c r="X292" s="18"/>
      <c r="Y292" s="18"/>
      <c r="Z292" s="18"/>
    </row>
    <row r="293" ht="22.5" customHeight="1">
      <c r="A293" s="28" t="s">
        <v>501</v>
      </c>
      <c r="B293" s="29" t="s">
        <v>36</v>
      </c>
      <c r="C293" s="31">
        <v>3.0</v>
      </c>
      <c r="D293" s="32">
        <v>0.0</v>
      </c>
      <c r="E293" s="43"/>
      <c r="F293" s="18"/>
      <c r="G293" s="18"/>
      <c r="H293" s="18"/>
      <c r="I293" s="18"/>
      <c r="J293" s="18"/>
      <c r="K293" s="18"/>
      <c r="L293" s="18"/>
      <c r="M293" s="18"/>
      <c r="N293" s="18"/>
      <c r="O293" s="18"/>
      <c r="P293" s="18"/>
      <c r="Q293" s="18"/>
      <c r="R293" s="18"/>
      <c r="S293" s="18"/>
      <c r="T293" s="18"/>
      <c r="U293" s="18"/>
      <c r="V293" s="18"/>
      <c r="W293" s="18"/>
      <c r="X293" s="18"/>
      <c r="Y293" s="18"/>
      <c r="Z293" s="18"/>
    </row>
    <row r="294" ht="22.5" customHeight="1">
      <c r="A294" s="22" t="s">
        <v>502</v>
      </c>
      <c r="B294" s="23" t="s">
        <v>36</v>
      </c>
      <c r="C294" s="24">
        <v>3.0</v>
      </c>
      <c r="D294" s="25">
        <v>0.0</v>
      </c>
      <c r="E294" s="45"/>
      <c r="F294" s="18"/>
      <c r="G294" s="18"/>
      <c r="H294" s="18"/>
      <c r="I294" s="18"/>
      <c r="J294" s="18"/>
      <c r="K294" s="18"/>
      <c r="L294" s="18"/>
      <c r="M294" s="18"/>
      <c r="N294" s="18"/>
      <c r="O294" s="18"/>
      <c r="P294" s="18"/>
      <c r="Q294" s="18"/>
      <c r="R294" s="18"/>
      <c r="S294" s="18"/>
      <c r="T294" s="18"/>
      <c r="U294" s="18"/>
      <c r="V294" s="18"/>
      <c r="W294" s="18"/>
      <c r="X294" s="18"/>
      <c r="Y294" s="18"/>
      <c r="Z294" s="18"/>
    </row>
    <row r="295" ht="22.5" customHeight="1">
      <c r="A295" s="28" t="s">
        <v>503</v>
      </c>
      <c r="B295" s="29" t="s">
        <v>88</v>
      </c>
      <c r="C295" s="31">
        <v>3.0</v>
      </c>
      <c r="D295" s="32">
        <v>0.0</v>
      </c>
      <c r="E295" s="43"/>
      <c r="F295" s="18"/>
      <c r="G295" s="18"/>
      <c r="H295" s="18"/>
      <c r="I295" s="18"/>
      <c r="J295" s="18"/>
      <c r="K295" s="18"/>
      <c r="L295" s="18"/>
      <c r="M295" s="18"/>
      <c r="N295" s="18"/>
      <c r="O295" s="18"/>
      <c r="P295" s="18"/>
      <c r="Q295" s="18"/>
      <c r="R295" s="18"/>
      <c r="S295" s="18"/>
      <c r="T295" s="18"/>
      <c r="U295" s="18"/>
      <c r="V295" s="18"/>
      <c r="W295" s="18"/>
      <c r="X295" s="18"/>
      <c r="Y295" s="18"/>
      <c r="Z295" s="18"/>
    </row>
    <row r="296" ht="22.5" customHeight="1">
      <c r="A296" s="22" t="s">
        <v>504</v>
      </c>
      <c r="B296" s="23" t="s">
        <v>36</v>
      </c>
      <c r="C296" s="24">
        <v>3.0</v>
      </c>
      <c r="D296" s="25">
        <v>0.0</v>
      </c>
      <c r="E296" s="45"/>
      <c r="F296" s="18"/>
      <c r="G296" s="18"/>
      <c r="H296" s="18"/>
      <c r="I296" s="18"/>
      <c r="J296" s="18"/>
      <c r="K296" s="18"/>
      <c r="L296" s="18"/>
      <c r="M296" s="18"/>
      <c r="N296" s="18"/>
      <c r="O296" s="18"/>
      <c r="P296" s="18"/>
      <c r="Q296" s="18"/>
      <c r="R296" s="18"/>
      <c r="S296" s="18"/>
      <c r="T296" s="18"/>
      <c r="U296" s="18"/>
      <c r="V296" s="18"/>
      <c r="W296" s="18"/>
      <c r="X296" s="18"/>
      <c r="Y296" s="18"/>
      <c r="Z296" s="18"/>
    </row>
    <row r="297" ht="22.5" customHeight="1">
      <c r="A297" s="28" t="s">
        <v>506</v>
      </c>
      <c r="B297" s="29" t="s">
        <v>36</v>
      </c>
      <c r="C297" s="31">
        <v>3.0</v>
      </c>
      <c r="D297" s="32">
        <v>0.0</v>
      </c>
      <c r="E297" s="43"/>
      <c r="F297" s="18"/>
      <c r="G297" s="18"/>
      <c r="H297" s="18"/>
      <c r="I297" s="18"/>
      <c r="J297" s="18"/>
      <c r="K297" s="18"/>
      <c r="L297" s="18"/>
      <c r="M297" s="18"/>
      <c r="N297" s="18"/>
      <c r="O297" s="18"/>
      <c r="P297" s="18"/>
      <c r="Q297" s="18"/>
      <c r="R297" s="18"/>
      <c r="S297" s="18"/>
      <c r="T297" s="18"/>
      <c r="U297" s="18"/>
      <c r="V297" s="18"/>
      <c r="W297" s="18"/>
      <c r="X297" s="18"/>
      <c r="Y297" s="18"/>
      <c r="Z297" s="18"/>
    </row>
    <row r="298" ht="22.5" customHeight="1">
      <c r="A298" s="22" t="s">
        <v>113</v>
      </c>
      <c r="B298" s="23" t="s">
        <v>36</v>
      </c>
      <c r="C298" s="24">
        <v>3.0</v>
      </c>
      <c r="D298" s="25">
        <v>0.0</v>
      </c>
      <c r="E298" s="45"/>
      <c r="F298" s="18"/>
      <c r="G298" s="18"/>
      <c r="H298" s="18"/>
      <c r="I298" s="18"/>
      <c r="J298" s="18"/>
      <c r="K298" s="18"/>
      <c r="L298" s="18"/>
      <c r="M298" s="18"/>
      <c r="N298" s="18"/>
      <c r="O298" s="18"/>
      <c r="P298" s="18"/>
      <c r="Q298" s="18"/>
      <c r="R298" s="18"/>
      <c r="S298" s="18"/>
      <c r="T298" s="18"/>
      <c r="U298" s="18"/>
      <c r="V298" s="18"/>
      <c r="W298" s="18"/>
      <c r="X298" s="18"/>
      <c r="Y298" s="18"/>
      <c r="Z298" s="18"/>
    </row>
    <row r="299" ht="22.5" customHeight="1">
      <c r="A299" s="53" t="s">
        <v>509</v>
      </c>
      <c r="B299" s="29" t="s">
        <v>76</v>
      </c>
      <c r="C299" s="31">
        <v>3.0</v>
      </c>
      <c r="D299" s="32">
        <v>0.0</v>
      </c>
      <c r="E299" s="43"/>
      <c r="F299" s="18"/>
      <c r="G299" s="18"/>
      <c r="H299" s="18"/>
      <c r="I299" s="18"/>
      <c r="J299" s="18"/>
      <c r="K299" s="18"/>
      <c r="L299" s="18"/>
      <c r="M299" s="18"/>
      <c r="N299" s="18"/>
      <c r="O299" s="18"/>
      <c r="P299" s="18"/>
      <c r="Q299" s="18"/>
      <c r="R299" s="18"/>
      <c r="S299" s="18"/>
      <c r="T299" s="18"/>
      <c r="U299" s="18"/>
      <c r="V299" s="18"/>
      <c r="W299" s="18"/>
      <c r="X299" s="18"/>
      <c r="Y299" s="18"/>
      <c r="Z299" s="18"/>
    </row>
    <row r="300" ht="22.5" customHeight="1">
      <c r="A300" s="58" t="s">
        <v>510</v>
      </c>
      <c r="B300" s="23" t="s">
        <v>36</v>
      </c>
      <c r="C300" s="24">
        <v>3.0</v>
      </c>
      <c r="D300" s="25">
        <v>0.0</v>
      </c>
      <c r="E300" s="45"/>
      <c r="F300" s="18"/>
      <c r="G300" s="18"/>
      <c r="H300" s="18"/>
      <c r="I300" s="18"/>
      <c r="J300" s="18"/>
      <c r="K300" s="18"/>
      <c r="L300" s="18"/>
      <c r="M300" s="18"/>
      <c r="N300" s="18"/>
      <c r="O300" s="18"/>
      <c r="P300" s="18"/>
      <c r="Q300" s="18"/>
      <c r="R300" s="18"/>
      <c r="S300" s="18"/>
      <c r="T300" s="18"/>
      <c r="U300" s="18"/>
      <c r="V300" s="18"/>
      <c r="W300" s="18"/>
      <c r="X300" s="18"/>
      <c r="Y300" s="18"/>
      <c r="Z300" s="18"/>
    </row>
    <row r="301" ht="22.5" customHeight="1">
      <c r="A301" s="53" t="s">
        <v>511</v>
      </c>
      <c r="B301" s="29" t="s">
        <v>36</v>
      </c>
      <c r="C301" s="31">
        <v>3.0</v>
      </c>
      <c r="D301" s="32">
        <v>0.0</v>
      </c>
      <c r="E301" s="43"/>
      <c r="F301" s="18"/>
      <c r="G301" s="18"/>
      <c r="H301" s="18"/>
      <c r="I301" s="18"/>
      <c r="J301" s="18"/>
      <c r="K301" s="18"/>
      <c r="L301" s="18"/>
      <c r="M301" s="18"/>
      <c r="N301" s="18"/>
      <c r="O301" s="18"/>
      <c r="P301" s="18"/>
      <c r="Q301" s="18"/>
      <c r="R301" s="18"/>
      <c r="S301" s="18"/>
      <c r="T301" s="18"/>
      <c r="U301" s="18"/>
      <c r="V301" s="18"/>
      <c r="W301" s="18"/>
      <c r="X301" s="18"/>
      <c r="Y301" s="18"/>
      <c r="Z301" s="18"/>
    </row>
    <row r="302" ht="22.5" customHeight="1">
      <c r="A302" s="58" t="s">
        <v>513</v>
      </c>
      <c r="B302" s="23" t="s">
        <v>36</v>
      </c>
      <c r="C302" s="24">
        <v>3.0</v>
      </c>
      <c r="D302" s="25">
        <v>0.0</v>
      </c>
      <c r="E302" s="45"/>
      <c r="F302" s="18"/>
      <c r="G302" s="18"/>
      <c r="H302" s="18"/>
      <c r="I302" s="18"/>
      <c r="J302" s="18"/>
      <c r="K302" s="18"/>
      <c r="L302" s="18"/>
      <c r="M302" s="18"/>
      <c r="N302" s="18"/>
      <c r="O302" s="18"/>
      <c r="P302" s="18"/>
      <c r="Q302" s="18"/>
      <c r="R302" s="18"/>
      <c r="S302" s="18"/>
      <c r="T302" s="18"/>
      <c r="U302" s="18"/>
      <c r="V302" s="18"/>
      <c r="W302" s="18"/>
      <c r="X302" s="18"/>
      <c r="Y302" s="18"/>
      <c r="Z302" s="18"/>
    </row>
    <row r="303">
      <c r="A303" s="59" t="s">
        <v>516</v>
      </c>
      <c r="B303" s="60" t="s">
        <v>36</v>
      </c>
      <c r="C303" s="61">
        <v>3.0</v>
      </c>
      <c r="D303" s="62">
        <v>0.0</v>
      </c>
      <c r="E303" s="63"/>
      <c r="F303" s="18"/>
      <c r="G303" s="18"/>
      <c r="H303" s="18"/>
      <c r="I303" s="18"/>
      <c r="J303" s="18"/>
      <c r="K303" s="18"/>
      <c r="L303" s="18"/>
      <c r="M303" s="18"/>
      <c r="N303" s="18"/>
      <c r="O303" s="18"/>
      <c r="P303" s="18"/>
      <c r="Q303" s="18"/>
      <c r="R303" s="18"/>
      <c r="S303" s="18"/>
      <c r="T303" s="18"/>
      <c r="U303" s="18"/>
      <c r="V303" s="18"/>
      <c r="W303" s="18"/>
      <c r="X303" s="18"/>
      <c r="Y303" s="18"/>
      <c r="Z303" s="18"/>
    </row>
    <row r="304">
      <c r="A304" s="64" t="s">
        <v>517</v>
      </c>
      <c r="B304" s="65" t="s">
        <v>36</v>
      </c>
      <c r="C304" s="66">
        <v>3.0</v>
      </c>
      <c r="D304" s="67">
        <v>0.0</v>
      </c>
      <c r="E304" s="68"/>
      <c r="F304" s="18"/>
      <c r="G304" s="18"/>
      <c r="H304" s="18"/>
      <c r="I304" s="18"/>
      <c r="J304" s="18"/>
      <c r="K304" s="18"/>
      <c r="L304" s="18"/>
      <c r="M304" s="18"/>
      <c r="N304" s="18"/>
      <c r="O304" s="18"/>
      <c r="P304" s="18"/>
      <c r="Q304" s="18"/>
      <c r="R304" s="18"/>
      <c r="S304" s="18"/>
      <c r="T304" s="18"/>
      <c r="U304" s="18"/>
      <c r="V304" s="18"/>
      <c r="W304" s="18"/>
      <c r="X304" s="18"/>
      <c r="Y304" s="18"/>
      <c r="Z304" s="18"/>
    </row>
    <row r="305">
      <c r="A305" s="59" t="s">
        <v>518</v>
      </c>
      <c r="B305" s="69" t="s">
        <v>36</v>
      </c>
      <c r="C305" s="70">
        <v>3.0</v>
      </c>
      <c r="D305" s="71">
        <v>0.0</v>
      </c>
      <c r="E305" s="72"/>
      <c r="F305" s="18"/>
      <c r="G305" s="18"/>
      <c r="H305" s="18"/>
      <c r="I305" s="18"/>
      <c r="J305" s="18"/>
      <c r="K305" s="18"/>
      <c r="L305" s="18"/>
      <c r="M305" s="18"/>
      <c r="N305" s="18"/>
      <c r="O305" s="18"/>
      <c r="P305" s="18"/>
      <c r="Q305" s="18"/>
      <c r="R305" s="18"/>
      <c r="S305" s="18"/>
      <c r="T305" s="18"/>
      <c r="U305" s="18"/>
      <c r="V305" s="18"/>
      <c r="W305" s="18"/>
      <c r="X305" s="18"/>
      <c r="Y305" s="18"/>
      <c r="Z305" s="18"/>
    </row>
    <row r="306">
      <c r="A306" s="73" t="s">
        <v>519</v>
      </c>
      <c r="B306" s="69" t="s">
        <v>36</v>
      </c>
      <c r="C306" s="70">
        <v>3.0</v>
      </c>
      <c r="D306" s="71">
        <v>0.0</v>
      </c>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74" t="s">
        <v>520</v>
      </c>
      <c r="B307" s="69" t="s">
        <v>36</v>
      </c>
      <c r="C307" s="70">
        <v>3.0</v>
      </c>
      <c r="D307" s="71">
        <v>0.0</v>
      </c>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75" t="s">
        <v>521</v>
      </c>
      <c r="B308" s="75" t="s">
        <v>36</v>
      </c>
      <c r="C308" s="76">
        <v>3.0</v>
      </c>
      <c r="D308" s="75" t="s">
        <v>523</v>
      </c>
      <c r="E308" s="77"/>
      <c r="F308" s="18"/>
      <c r="G308" s="18"/>
      <c r="H308" s="18"/>
      <c r="I308" s="18"/>
      <c r="J308" s="18"/>
      <c r="K308" s="18"/>
      <c r="L308" s="18"/>
      <c r="M308" s="18"/>
      <c r="N308" s="18"/>
      <c r="O308" s="18"/>
      <c r="P308" s="18"/>
      <c r="Q308" s="18"/>
      <c r="R308" s="18"/>
      <c r="S308" s="18"/>
      <c r="T308" s="18"/>
      <c r="U308" s="18"/>
      <c r="V308" s="18"/>
      <c r="W308" s="18"/>
      <c r="X308" s="18"/>
      <c r="Y308" s="18"/>
      <c r="Z308" s="18"/>
    </row>
    <row r="309">
      <c r="A309" s="75" t="s">
        <v>524</v>
      </c>
      <c r="B309" s="75" t="s">
        <v>88</v>
      </c>
      <c r="C309" s="76">
        <v>3.0</v>
      </c>
      <c r="D309" s="75" t="s">
        <v>523</v>
      </c>
      <c r="E309" s="77"/>
      <c r="F309" s="18"/>
      <c r="G309" s="18"/>
      <c r="H309" s="18"/>
      <c r="I309" s="18"/>
      <c r="J309" s="18"/>
      <c r="K309" s="18"/>
      <c r="L309" s="18"/>
      <c r="M309" s="18"/>
      <c r="N309" s="18"/>
      <c r="O309" s="18"/>
      <c r="P309" s="18"/>
      <c r="Q309" s="18"/>
      <c r="R309" s="18"/>
      <c r="S309" s="18"/>
      <c r="T309" s="18"/>
      <c r="U309" s="18"/>
      <c r="V309" s="18"/>
      <c r="W309" s="18"/>
      <c r="X309" s="18"/>
      <c r="Y309" s="18"/>
      <c r="Z309" s="18"/>
    </row>
    <row r="310">
      <c r="A310" s="75" t="s">
        <v>527</v>
      </c>
      <c r="B310" s="75" t="s">
        <v>36</v>
      </c>
      <c r="C310" s="76">
        <v>3.0</v>
      </c>
      <c r="D310" s="75" t="s">
        <v>523</v>
      </c>
      <c r="E310" s="77"/>
      <c r="F310" s="18"/>
      <c r="G310" s="18"/>
      <c r="H310" s="18"/>
      <c r="I310" s="18"/>
      <c r="J310" s="18"/>
      <c r="K310" s="18"/>
      <c r="L310" s="18"/>
      <c r="M310" s="18"/>
      <c r="N310" s="18"/>
      <c r="O310" s="18"/>
      <c r="P310" s="18"/>
      <c r="Q310" s="18"/>
      <c r="R310" s="18"/>
      <c r="S310" s="18"/>
      <c r="T310" s="18"/>
      <c r="U310" s="18"/>
      <c r="V310" s="18"/>
      <c r="W310" s="18"/>
      <c r="X310" s="18"/>
      <c r="Y310" s="18"/>
      <c r="Z310" s="18"/>
    </row>
    <row r="311">
      <c r="A311" s="75" t="s">
        <v>528</v>
      </c>
      <c r="B311" s="75" t="s">
        <v>36</v>
      </c>
      <c r="C311" s="76">
        <v>3.0</v>
      </c>
      <c r="D311" s="75" t="s">
        <v>523</v>
      </c>
      <c r="E311" s="77"/>
      <c r="F311" s="18"/>
      <c r="G311" s="18"/>
      <c r="H311" s="18"/>
      <c r="I311" s="18"/>
      <c r="J311" s="18"/>
      <c r="K311" s="18"/>
      <c r="L311" s="18"/>
      <c r="M311" s="18"/>
      <c r="N311" s="18"/>
      <c r="O311" s="18"/>
      <c r="P311" s="18"/>
      <c r="Q311" s="18"/>
      <c r="R311" s="18"/>
      <c r="S311" s="18"/>
      <c r="T311" s="18"/>
      <c r="U311" s="18"/>
      <c r="V311" s="18"/>
      <c r="W311" s="18"/>
      <c r="X311" s="18"/>
      <c r="Y311" s="18"/>
      <c r="Z311" s="18"/>
    </row>
    <row r="312">
      <c r="A312" s="78" t="s">
        <v>529</v>
      </c>
      <c r="B312" s="69" t="s">
        <v>36</v>
      </c>
      <c r="C312" s="70">
        <v>3.0</v>
      </c>
      <c r="D312" s="71">
        <v>0.0</v>
      </c>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79" t="s">
        <v>530</v>
      </c>
      <c r="B313" s="60" t="s">
        <v>36</v>
      </c>
      <c r="C313" s="61">
        <v>1.0</v>
      </c>
      <c r="D313" s="62">
        <v>1000000.0</v>
      </c>
      <c r="E313" s="63"/>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ataValidations>
    <dataValidation type="custom" allowBlank="1" showDropDown="1" sqref="D2:D302">
      <formula1>AND(ISNUMBER(D2),(NOT(OR(NOT(ISERROR(DATEVALUE(D2))), AND(ISNUMBER(D2), LEFT(CELL("format", D2))="D")))))</formula1>
    </dataValidation>
  </dataValidations>
  <hyperlinks>
    <hyperlink r:id="rId1" ref="A278"/>
  </hyperlinks>
  <drawing r:id="rId2"/>
  <tableParts count="2">
    <tablePart r:id="rId5"/>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s>
  <sheetData>
    <row r="1">
      <c r="A1" s="1" t="s">
        <v>0</v>
      </c>
      <c r="B1" s="1" t="s">
        <v>1</v>
      </c>
    </row>
    <row r="2">
      <c r="A2" s="2" t="s">
        <v>2</v>
      </c>
      <c r="B2" s="3">
        <v>5.0</v>
      </c>
    </row>
    <row r="3">
      <c r="A3" s="2" t="s">
        <v>3</v>
      </c>
      <c r="B3" s="3">
        <v>11.0</v>
      </c>
    </row>
    <row r="4">
      <c r="A4" s="2" t="s">
        <v>4</v>
      </c>
      <c r="B4" s="3">
        <v>9.0</v>
      </c>
    </row>
    <row r="5">
      <c r="A5" s="2" t="s">
        <v>5</v>
      </c>
      <c r="B5" s="3">
        <v>13.0</v>
      </c>
    </row>
    <row r="6">
      <c r="A6" s="2" t="s">
        <v>6</v>
      </c>
      <c r="B6" s="3">
        <v>5.0</v>
      </c>
    </row>
    <row r="7">
      <c r="A7" s="2" t="s">
        <v>7</v>
      </c>
      <c r="B7" s="3">
        <v>18.0</v>
      </c>
    </row>
    <row r="8">
      <c r="A8" s="4">
        <v>46204.0</v>
      </c>
      <c r="B8" s="5">
        <v>7.0</v>
      </c>
    </row>
    <row r="9">
      <c r="A9" s="6" t="s">
        <v>8</v>
      </c>
      <c r="B9" s="7">
        <f>SUM(B2:B8)</f>
        <v>68</v>
      </c>
    </row>
  </sheetData>
  <drawing r:id="rId1"/>
</worksheet>
</file>